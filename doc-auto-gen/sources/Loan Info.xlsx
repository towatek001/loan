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 info" sheetId="1" r:id="rId4"/>
    <sheet state="visible" name="Details and table" sheetId="2" r:id="rId5"/>
    <sheet state="visible" name="word Merge field" sheetId="3" r:id="rId6"/>
    <sheet state="visible" name="Source" sheetId="4" r:id="rId7"/>
  </sheets>
  <definedNames/>
  <calcPr/>
</workbook>
</file>

<file path=xl/sharedStrings.xml><?xml version="1.0" encoding="utf-8"?>
<sst xmlns="http://schemas.openxmlformats.org/spreadsheetml/2006/main" count="137" uniqueCount="109">
  <si>
    <t>Loan number</t>
  </si>
  <si>
    <t>Current date</t>
  </si>
  <si>
    <t>Origination Date</t>
  </si>
  <si>
    <t>First Payment date</t>
  </si>
  <si>
    <t>Payment frequency</t>
  </si>
  <si>
    <t>Monthly</t>
  </si>
  <si>
    <t xml:space="preserve">principal </t>
  </si>
  <si>
    <t>annual nominal rate</t>
  </si>
  <si>
    <t>number of payments</t>
  </si>
  <si>
    <t>Name</t>
  </si>
  <si>
    <t>Address</t>
  </si>
  <si>
    <t>Phone</t>
  </si>
  <si>
    <t>Email</t>
  </si>
  <si>
    <t>Bank Transit</t>
  </si>
  <si>
    <t>Bank Institution</t>
  </si>
  <si>
    <t>Bank Account</t>
  </si>
  <si>
    <t>Borrower</t>
  </si>
  <si>
    <t>John Doe</t>
  </si>
  <si>
    <t>123 AAA St</t>
  </si>
  <si>
    <t>111-222-2222</t>
  </si>
  <si>
    <t>john.doe@gmail.com</t>
  </si>
  <si>
    <t>98988</t>
  </si>
  <si>
    <t>004</t>
  </si>
  <si>
    <t>1212345</t>
  </si>
  <si>
    <t>Cosigner 1</t>
  </si>
  <si>
    <t>Bo Be</t>
  </si>
  <si>
    <t>234 BBB St</t>
  </si>
  <si>
    <t>111-222-3333</t>
  </si>
  <si>
    <r>
      <rPr>
        <rFont val="Arial"/>
        <color rgb="FF1155CC"/>
        <sz val="10.0"/>
        <u/>
      </rPr>
      <t>bo.be</t>
    </r>
    <r>
      <rPr>
        <rFont val="Arial"/>
        <sz val="10.0"/>
      </rPr>
      <t>@gmail.com</t>
    </r>
  </si>
  <si>
    <t>Cosigner 2</t>
  </si>
  <si>
    <t>Sam Yan</t>
  </si>
  <si>
    <t>888 CCC St</t>
  </si>
  <si>
    <t>999-000-9999</t>
  </si>
  <si>
    <t>sam.yan@gmail.com</t>
  </si>
  <si>
    <t>Cosigner 3</t>
  </si>
  <si>
    <t>Mike Dow</t>
  </si>
  <si>
    <t>999 DDD St</t>
  </si>
  <si>
    <t>939-020-3933</t>
  </si>
  <si>
    <t>mike.dow@gmail.com</t>
  </si>
  <si>
    <t>https://docs.google.com/open?id=1oyfclZRXYLG3dRCrdV1zCtalXqlfe6PhDGO9eSEYu4w</t>
  </si>
  <si>
    <t>Line</t>
  </si>
  <si>
    <t>* Line status</t>
  </si>
  <si>
    <t>* Pmt Date</t>
  </si>
  <si>
    <t>* Payment</t>
  </si>
  <si>
    <t>* Rate</t>
  </si>
  <si>
    <t>Mathematical Principal</t>
  </si>
  <si>
    <t>Accrued Interest</t>
  </si>
  <si>
    <t>days portion (hide)</t>
  </si>
  <si>
    <t xml:space="preserve">fees </t>
  </si>
  <si>
    <t>Balance</t>
  </si>
  <si>
    <t>* Comment</t>
  </si>
  <si>
    <t>Paid Interest</t>
  </si>
  <si>
    <t>Paid Principal</t>
  </si>
  <si>
    <t>Balance Due Interest</t>
  </si>
  <si>
    <t>Balance Due Principal</t>
  </si>
  <si>
    <t>Due Pmt</t>
  </si>
  <si>
    <t>payment amount</t>
  </si>
  <si>
    <t>Goal Seek for balance =0</t>
  </si>
  <si>
    <t>Norminal Rate</t>
  </si>
  <si>
    <t>Norminal</t>
  </si>
  <si>
    <t>Effective</t>
  </si>
  <si>
    <t>APR</t>
  </si>
  <si>
    <t xml:space="preserve">Compounding period </t>
  </si>
  <si>
    <t>last payment due</t>
  </si>
  <si>
    <t xml:space="preserve">Total Interest </t>
  </si>
  <si>
    <t>Total obligation</t>
  </si>
  <si>
    <t>Balance date</t>
  </si>
  <si>
    <t>Peter</t>
  </si>
  <si>
    <t>abc</t>
  </si>
  <si>
    <t>Totals</t>
  </si>
  <si>
    <t>current date</t>
  </si>
  <si>
    <t>Last payment date</t>
  </si>
  <si>
    <t xml:space="preserve">total obligation </t>
  </si>
  <si>
    <t>APR Norminal</t>
  </si>
  <si>
    <t>APR Effective</t>
  </si>
  <si>
    <t>Borrower Name</t>
  </si>
  <si>
    <t>Borrower Address</t>
  </si>
  <si>
    <t xml:space="preserve">Borrower Phone </t>
  </si>
  <si>
    <t>Borrower Email</t>
  </si>
  <si>
    <t>Borrower Bank Transit</t>
  </si>
  <si>
    <t>Borrower Bank Institution</t>
  </si>
  <si>
    <t>Borrower Bank Account</t>
  </si>
  <si>
    <t>Name2</t>
  </si>
  <si>
    <t>Address2</t>
  </si>
  <si>
    <t>Phone 2</t>
  </si>
  <si>
    <t>Email2</t>
  </si>
  <si>
    <t>Bank Transit2</t>
  </si>
  <si>
    <t>Bank Institution2</t>
  </si>
  <si>
    <t xml:space="preserve">Bank Account2 </t>
  </si>
  <si>
    <t>Name3</t>
  </si>
  <si>
    <t>Address3</t>
  </si>
  <si>
    <t>Phone 3</t>
  </si>
  <si>
    <t>Email3</t>
  </si>
  <si>
    <t>Bank Transit3</t>
  </si>
  <si>
    <t>Bank Institution3</t>
  </si>
  <si>
    <t>Bank Account3</t>
  </si>
  <si>
    <t>Name4</t>
  </si>
  <si>
    <t>Address4</t>
  </si>
  <si>
    <t>Phone 4</t>
  </si>
  <si>
    <t>Email4</t>
  </si>
  <si>
    <t>Bank Transit4</t>
  </si>
  <si>
    <t>Bank Institution4</t>
  </si>
  <si>
    <t>Bank Account4</t>
  </si>
  <si>
    <t>Byweekly</t>
  </si>
  <si>
    <t>End of Month</t>
  </si>
  <si>
    <t>Min loan term</t>
  </si>
  <si>
    <t>MAX loan term</t>
  </si>
  <si>
    <t>Paid Pmt</t>
  </si>
  <si>
    <t>E-transferred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</si>
</sst>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-14809]d\ mmmm\ yyyy"/>
    <numFmt numFmtId="165" formatCode="_-&quot;$&quot;* #,##0.00_-;\-&quot;$&quot;* #,##0.00_-;_-&quot;$&quot;* &quot;-&quot;??_-;_-@"/>
    <numFmt numFmtId="166" formatCode="[$-F800]dddd\,\ mmmm\ dd\,\ yyyy"/>
    <numFmt numFmtId="167" formatCode="\$#,##0.00"/>
    <numFmt numFmtId="168" formatCode="&quot;$&quot;#,##0.00;[Red]\-&quot;$&quot;#,##0.00"/>
    <numFmt numFmtId="169" formatCode="_-&quot;$&quot;* #,##0.00000_-;\-&quot;$&quot;* #,##0.00000_-;_-&quot;$&quot;* &quot;-&quot;??_-;_-@"/>
    <numFmt numFmtId="170" formatCode="0.000000"/>
    <numFmt numFmtId="171" formatCode="##0.00\ &quot;%&quot;"/>
    <numFmt numFmtId="172" formatCode="\$#,##0.0000000"/>
    <numFmt numFmtId="173" formatCode="[$-14809]d\ mmm\ yyyy"/>
  </numFmts>
  <fonts count="8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  <font>
      <u/>
      <color rgb="FF0000FF"/>
    </font>
    <font>
      <sz val="10.0"/>
      <color rgb="FFFF0000"/>
      <name val="Arial"/>
    </font>
    <font>
      <color theme="1"/>
      <name val="Arial"/>
      <scheme val="minor"/>
    </font>
    <font>
      <sz val="9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1" fillId="2" fontId="1" numFmtId="0" xfId="0" applyAlignment="1" applyBorder="1" applyFont="1">
      <alignment horizontal="left"/>
    </xf>
    <xf borderId="1" fillId="0" fontId="1" numFmtId="0" xfId="0" applyAlignment="1" applyBorder="1" applyFont="1">
      <alignment horizontal="right"/>
    </xf>
    <xf borderId="1" fillId="0" fontId="1" numFmtId="165" xfId="0" applyBorder="1" applyFont="1" applyNumberFormat="1"/>
    <xf borderId="1" fillId="0" fontId="1" numFmtId="10" xfId="0" applyBorder="1" applyFont="1" applyNumberFormat="1"/>
    <xf borderId="1" fillId="0" fontId="1" numFmtId="1" xfId="0" applyBorder="1" applyFont="1" applyNumberFormat="1"/>
    <xf borderId="1" fillId="0" fontId="1" numFmtId="0" xfId="0" applyBorder="1" applyFont="1"/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0" fontId="1" numFmtId="49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readingOrder="0"/>
    </xf>
    <xf borderId="1" fillId="0" fontId="1" numFmtId="49" xfId="0" applyBorder="1" applyFont="1" applyNumberFormat="1"/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1" numFmtId="166" xfId="0" applyBorder="1" applyFont="1" applyNumberFormat="1"/>
    <xf borderId="0" fillId="0" fontId="1" numFmtId="0" xfId="0" applyFont="1"/>
    <xf borderId="2" fillId="0" fontId="1" numFmtId="1" xfId="0" applyAlignment="1" applyBorder="1" applyFont="1" applyNumberFormat="1">
      <alignment horizontal="right" vertical="center"/>
    </xf>
    <xf borderId="3" fillId="2" fontId="1" numFmtId="0" xfId="0" applyAlignment="1" applyBorder="1" applyFont="1">
      <alignment horizontal="left" vertical="center"/>
    </xf>
    <xf borderId="3" fillId="2" fontId="1" numFmtId="166" xfId="0" applyAlignment="1" applyBorder="1" applyFont="1" applyNumberFormat="1">
      <alignment horizontal="left" vertical="center"/>
    </xf>
    <xf borderId="3" fillId="2" fontId="1" numFmtId="165" xfId="0" applyAlignment="1" applyBorder="1" applyFont="1" applyNumberFormat="1">
      <alignment horizontal="right" vertical="center"/>
    </xf>
    <xf borderId="2" fillId="0" fontId="1" numFmtId="10" xfId="0" applyAlignment="1" applyBorder="1" applyFont="1" applyNumberFormat="1">
      <alignment horizontal="right" vertical="center"/>
    </xf>
    <xf borderId="2" fillId="0" fontId="1" numFmtId="167" xfId="0" applyAlignment="1" applyBorder="1" applyFont="1" applyNumberFormat="1">
      <alignment horizontal="right" vertical="center"/>
    </xf>
    <xf borderId="2" fillId="0" fontId="1" numFmtId="2" xfId="0" applyAlignment="1" applyBorder="1" applyFont="1" applyNumberFormat="1">
      <alignment horizontal="right" vertical="center"/>
    </xf>
    <xf borderId="1" fillId="2" fontId="1" numFmtId="167" xfId="0" applyAlignment="1" applyBorder="1" applyFont="1" applyNumberFormat="1">
      <alignment horizontal="right" vertical="center"/>
    </xf>
    <xf borderId="0" fillId="0" fontId="1" numFmtId="167" xfId="0" applyAlignment="1" applyFont="1" applyNumberFormat="1">
      <alignment horizontal="right" vertical="center"/>
    </xf>
    <xf borderId="0" fillId="0" fontId="1" numFmtId="0" xfId="0" applyAlignment="1" applyFont="1">
      <alignment horizontal="left" vertical="center"/>
    </xf>
    <xf borderId="1" fillId="0" fontId="1" numFmtId="1" xfId="0" applyAlignment="1" applyBorder="1" applyFont="1" applyNumberFormat="1">
      <alignment horizontal="right" vertical="center"/>
    </xf>
    <xf borderId="1" fillId="2" fontId="1" numFmtId="166" xfId="0" applyAlignment="1" applyBorder="1" applyFont="1" applyNumberFormat="1">
      <alignment horizontal="left" vertical="center"/>
    </xf>
    <xf borderId="1" fillId="2" fontId="1" numFmtId="168" xfId="0" applyAlignment="1" applyBorder="1" applyFont="1" applyNumberFormat="1">
      <alignment horizontal="right" vertical="center"/>
    </xf>
    <xf borderId="1" fillId="0" fontId="1" numFmtId="10" xfId="0" applyAlignment="1" applyBorder="1" applyFont="1" applyNumberFormat="1">
      <alignment horizontal="right" vertical="center"/>
    </xf>
    <xf borderId="1" fillId="0" fontId="1" numFmtId="167" xfId="0" applyAlignment="1" applyBorder="1" applyFont="1" applyNumberFormat="1">
      <alignment horizontal="right" vertical="center"/>
    </xf>
    <xf borderId="1" fillId="0" fontId="1" numFmtId="2" xfId="0" applyAlignment="1" applyBorder="1" applyFont="1" applyNumberFormat="1">
      <alignment horizontal="right" vertical="center"/>
    </xf>
    <xf borderId="0" fillId="0" fontId="1" numFmtId="4" xfId="0" applyAlignment="1" applyFont="1" applyNumberFormat="1">
      <alignment horizontal="left" vertical="center"/>
    </xf>
    <xf borderId="1" fillId="2" fontId="1" numFmtId="0" xfId="0" applyAlignment="1" applyBorder="1" applyFont="1">
      <alignment horizontal="right"/>
    </xf>
    <xf borderId="1" fillId="2" fontId="1" numFmtId="165" xfId="0" applyBorder="1" applyFont="1" applyNumberFormat="1"/>
    <xf borderId="1" fillId="2" fontId="1" numFmtId="10" xfId="0" applyBorder="1" applyFont="1" applyNumberFormat="1"/>
    <xf borderId="0" fillId="0" fontId="1" numFmtId="9" xfId="0" applyFont="1" applyNumberFormat="1"/>
    <xf borderId="1" fillId="2" fontId="1" numFmtId="1" xfId="0" applyBorder="1" applyFont="1" applyNumberFormat="1"/>
    <xf borderId="0" fillId="0" fontId="1" numFmtId="165" xfId="0" applyFont="1" applyNumberFormat="1"/>
    <xf borderId="1" fillId="2" fontId="1" numFmtId="169" xfId="0" applyBorder="1" applyFont="1" applyNumberFormat="1"/>
    <xf borderId="0" fillId="0" fontId="1" numFmtId="168" xfId="0" applyFont="1" applyNumberFormat="1"/>
    <xf borderId="0" fillId="0" fontId="5" numFmtId="0" xfId="0" applyFont="1"/>
    <xf borderId="0" fillId="0" fontId="1" numFmtId="170" xfId="0" applyFont="1" applyNumberFormat="1"/>
    <xf borderId="0" fillId="0" fontId="1" numFmtId="166" xfId="0" applyFont="1" applyNumberFormat="1"/>
    <xf borderId="0" fillId="0" fontId="6" numFmtId="0" xfId="0" applyFont="1"/>
    <xf borderId="0" fillId="0" fontId="5" numFmtId="0" xfId="0" applyAlignment="1" applyFont="1">
      <alignment readingOrder="0"/>
    </xf>
    <xf borderId="0" fillId="0" fontId="5" numFmtId="167" xfId="0" applyFont="1" applyNumberFormat="1"/>
    <xf borderId="0" fillId="0" fontId="5" numFmtId="166" xfId="0" applyFont="1" applyNumberFormat="1"/>
    <xf borderId="0" fillId="0" fontId="1" numFmtId="1" xfId="0" applyAlignment="1" applyFont="1" applyNumberFormat="1">
      <alignment horizontal="right" vertical="center"/>
    </xf>
    <xf borderId="0" fillId="0" fontId="1" numFmtId="166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right" vertical="center"/>
    </xf>
    <xf borderId="0" fillId="0" fontId="1" numFmtId="171" xfId="0" applyAlignment="1" applyFont="1" applyNumberFormat="1">
      <alignment horizontal="right" vertical="center"/>
    </xf>
    <xf borderId="0" fillId="0" fontId="1" numFmtId="2" xfId="0" applyAlignment="1" applyFont="1" applyNumberFormat="1">
      <alignment horizontal="right" vertical="center"/>
    </xf>
    <xf borderId="0" fillId="0" fontId="1" numFmtId="3" xfId="0" applyAlignment="1" applyFont="1" applyNumberFormat="1">
      <alignment horizontal="right" vertical="center"/>
    </xf>
    <xf borderId="0" fillId="0" fontId="1" numFmtId="172" xfId="0" applyAlignment="1" applyFont="1" applyNumberFormat="1">
      <alignment horizontal="right" vertical="center"/>
    </xf>
    <xf borderId="1" fillId="3" fontId="7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shrinkToFit="0" wrapText="1"/>
    </xf>
    <xf borderId="1" fillId="0" fontId="1" numFmtId="1" xfId="0" applyAlignment="1" applyBorder="1" applyFont="1" applyNumberFormat="1">
      <alignment horizontal="center" vertical="center"/>
    </xf>
    <xf borderId="1" fillId="0" fontId="1" numFmtId="173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1" fillId="0" fontId="1" numFmtId="2" xfId="0" applyBorder="1" applyFont="1" applyNumberFormat="1"/>
    <xf borderId="0" fillId="0" fontId="1" numFmtId="49" xfId="0" applyAlignment="1" applyFont="1" applyNumberFormat="1">
      <alignment horizontal="center" vertical="center"/>
    </xf>
    <xf borderId="0" fillId="0" fontId="1" numFmtId="2" xfId="0" applyFont="1" applyNumberFormat="1"/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o.be/" TargetMode="External"/><Relationship Id="rId2" Type="http://schemas.openxmlformats.org/officeDocument/2006/relationships/hyperlink" Target="https://docs.google.com/open?id=1oyfclZRXYLG3dRCrdV1zCtalXqlfe6PhDGO9eSEYu4w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13"/>
    <col customWidth="1" min="2" max="2" width="18.25"/>
    <col customWidth="1" min="3" max="3" width="27.0"/>
    <col customWidth="1" min="4" max="4" width="13.88"/>
    <col customWidth="1" min="5" max="5" width="17.13"/>
    <col customWidth="1" min="6" max="6" width="11.38"/>
    <col customWidth="1" min="7" max="7" width="14.0"/>
    <col customWidth="1" min="8" max="8" width="12.75"/>
    <col customWidth="1" min="9" max="26" width="8.63"/>
  </cols>
  <sheetData>
    <row r="1" ht="12.75" customHeight="1"/>
    <row r="2" ht="12.75" customHeight="1">
      <c r="A2" s="1" t="s">
        <v>0</v>
      </c>
      <c r="B2" s="2">
        <v>110022.0</v>
      </c>
    </row>
    <row r="3" ht="12.75" customHeight="1">
      <c r="A3" s="1" t="s">
        <v>1</v>
      </c>
      <c r="B3" s="3">
        <v>44845.0</v>
      </c>
    </row>
    <row r="4" ht="12.75" customHeight="1">
      <c r="A4" s="4" t="s">
        <v>2</v>
      </c>
      <c r="B4" s="3">
        <v>44846.0</v>
      </c>
    </row>
    <row r="5" ht="12.75" customHeight="1">
      <c r="A5" s="4" t="s">
        <v>3</v>
      </c>
      <c r="B5" s="3">
        <v>44855.0</v>
      </c>
    </row>
    <row r="6" ht="12.75" customHeight="1">
      <c r="A6" s="4" t="s">
        <v>4</v>
      </c>
      <c r="B6" s="5" t="s">
        <v>5</v>
      </c>
    </row>
    <row r="7" ht="12.75" customHeight="1">
      <c r="A7" s="4" t="s">
        <v>6</v>
      </c>
      <c r="B7" s="6">
        <v>2500.0</v>
      </c>
    </row>
    <row r="8" ht="12.75" customHeight="1">
      <c r="A8" s="4" t="s">
        <v>7</v>
      </c>
      <c r="B8" s="7">
        <v>0.475</v>
      </c>
    </row>
    <row r="9" ht="12.75" customHeight="1">
      <c r="A9" s="4" t="s">
        <v>8</v>
      </c>
      <c r="B9" s="8">
        <v>12.0</v>
      </c>
    </row>
    <row r="10" ht="12.75" customHeight="1"/>
    <row r="11" ht="12.75" customHeight="1">
      <c r="A11" s="9"/>
      <c r="B11" s="10" t="s">
        <v>9</v>
      </c>
      <c r="C11" s="10" t="s">
        <v>10</v>
      </c>
      <c r="D11" s="11" t="s">
        <v>11</v>
      </c>
      <c r="E11" s="10" t="s">
        <v>12</v>
      </c>
      <c r="F11" s="10" t="s">
        <v>13</v>
      </c>
      <c r="G11" s="10" t="s">
        <v>14</v>
      </c>
      <c r="H11" s="10" t="s">
        <v>15</v>
      </c>
    </row>
    <row r="12" ht="12.75" customHeight="1">
      <c r="A12" s="10" t="s">
        <v>16</v>
      </c>
      <c r="B12" s="12" t="s">
        <v>17</v>
      </c>
      <c r="C12" s="12" t="s">
        <v>18</v>
      </c>
      <c r="D12" s="12" t="s">
        <v>19</v>
      </c>
      <c r="E12" s="12" t="s">
        <v>20</v>
      </c>
      <c r="F12" s="12" t="s">
        <v>21</v>
      </c>
      <c r="G12" s="12" t="s">
        <v>22</v>
      </c>
      <c r="H12" s="12" t="s">
        <v>23</v>
      </c>
    </row>
    <row r="13" ht="12.75" customHeight="1">
      <c r="A13" s="10" t="s">
        <v>24</v>
      </c>
      <c r="B13" s="12" t="s">
        <v>25</v>
      </c>
      <c r="C13" s="12" t="s">
        <v>26</v>
      </c>
      <c r="D13" s="12" t="s">
        <v>27</v>
      </c>
      <c r="E13" s="13" t="s">
        <v>28</v>
      </c>
      <c r="F13" s="14"/>
      <c r="G13" s="14"/>
      <c r="H13" s="14"/>
    </row>
    <row r="14" ht="12.75" customHeight="1">
      <c r="A14" s="10" t="s">
        <v>29</v>
      </c>
      <c r="B14" s="12" t="s">
        <v>30</v>
      </c>
      <c r="C14" s="12" t="s">
        <v>31</v>
      </c>
      <c r="D14" s="12" t="s">
        <v>32</v>
      </c>
      <c r="E14" s="12" t="s">
        <v>33</v>
      </c>
      <c r="F14" s="14"/>
      <c r="G14" s="14"/>
      <c r="H14" s="14"/>
    </row>
    <row r="15" ht="12.75" customHeight="1">
      <c r="A15" s="10" t="s">
        <v>34</v>
      </c>
      <c r="B15" s="12" t="s">
        <v>35</v>
      </c>
      <c r="C15" s="12" t="s">
        <v>36</v>
      </c>
      <c r="D15" s="12" t="s">
        <v>37</v>
      </c>
      <c r="E15" s="12" t="s">
        <v>38</v>
      </c>
      <c r="F15" s="14"/>
      <c r="G15" s="14"/>
      <c r="H15" s="14"/>
    </row>
    <row r="16" ht="12.75" customHeight="1"/>
    <row r="17" ht="12.75" customHeight="1"/>
    <row r="18" ht="12.75" customHeight="1"/>
    <row r="19" ht="12.75" customHeight="1"/>
    <row r="20" ht="12.75" customHeight="1">
      <c r="A20" s="15" t="s">
        <v>39</v>
      </c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>
    <dataValidation type="list" allowBlank="1" showErrorMessage="1" sqref="B6">
      <formula1>Source!$A$1:$A$3</formula1>
    </dataValidation>
  </dataValidations>
  <hyperlinks>
    <hyperlink r:id="rId1" ref="E13"/>
    <hyperlink r:id="rId2" ref="A20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26.88"/>
    <col customWidth="1" min="3" max="3" width="22.38"/>
    <col customWidth="1" min="4" max="4" width="6.0"/>
    <col customWidth="1" min="5" max="5" width="11.38"/>
    <col customWidth="1" min="6" max="6" width="28.75"/>
    <col customWidth="1" min="7" max="7" width="10.25"/>
    <col customWidth="1" hidden="1" min="8" max="8" width="10.25"/>
    <col customWidth="1" hidden="1" min="9" max="9" width="10.88"/>
    <col customWidth="1" hidden="1" min="10" max="10" width="9.38"/>
    <col customWidth="1" min="11" max="11" width="11.13"/>
    <col customWidth="1" min="12" max="12" width="12.13"/>
    <col customWidth="1" min="13" max="13" width="12.63"/>
    <col customWidth="1" min="14" max="14" width="7.88"/>
    <col customWidth="1" min="15" max="15" width="9.38"/>
    <col customWidth="1" hidden="1" min="16" max="16" width="15.0"/>
    <col customWidth="1" min="17" max="17" width="15.75"/>
    <col customWidth="1" min="18" max="21" width="14.25"/>
    <col customWidth="1" min="22" max="26" width="11.38"/>
  </cols>
  <sheetData>
    <row r="1">
      <c r="A1" s="1" t="s">
        <v>0</v>
      </c>
      <c r="B1" s="10">
        <f>'Loan info'!B2</f>
        <v>110022</v>
      </c>
      <c r="D1" s="16" t="s">
        <v>40</v>
      </c>
      <c r="E1" s="17" t="s">
        <v>41</v>
      </c>
      <c r="F1" s="17" t="s">
        <v>42</v>
      </c>
      <c r="G1" s="17" t="s">
        <v>43</v>
      </c>
      <c r="H1" s="16" t="s">
        <v>44</v>
      </c>
      <c r="I1" s="16" t="s">
        <v>45</v>
      </c>
      <c r="J1" s="16" t="s">
        <v>46</v>
      </c>
      <c r="K1" s="18" t="s">
        <v>47</v>
      </c>
      <c r="L1" s="18" t="s">
        <v>45</v>
      </c>
      <c r="M1" s="18" t="s">
        <v>46</v>
      </c>
      <c r="N1" s="17" t="s">
        <v>48</v>
      </c>
      <c r="O1" s="18" t="s">
        <v>49</v>
      </c>
      <c r="P1" s="19" t="s">
        <v>49</v>
      </c>
      <c r="Q1" s="19" t="s">
        <v>50</v>
      </c>
      <c r="R1" s="19" t="s">
        <v>51</v>
      </c>
      <c r="S1" s="19" t="s">
        <v>52</v>
      </c>
      <c r="T1" s="19" t="s">
        <v>53</v>
      </c>
      <c r="U1" s="19" t="s">
        <v>54</v>
      </c>
    </row>
    <row r="2" ht="15.0" customHeight="1">
      <c r="A2" s="1" t="s">
        <v>1</v>
      </c>
      <c r="B2" s="20">
        <f>'Loan info'!B3</f>
        <v>44845</v>
      </c>
      <c r="C2" s="21"/>
      <c r="D2" s="22">
        <v>1.0</v>
      </c>
      <c r="E2" s="23" t="s">
        <v>55</v>
      </c>
      <c r="F2" s="24">
        <f>B4</f>
        <v>44855</v>
      </c>
      <c r="G2" s="25">
        <f>B10</f>
        <v>258.6522499</v>
      </c>
      <c r="H2" s="26">
        <f t="shared" ref="H2:H27" si="1">$B$7</f>
        <v>0.475</v>
      </c>
      <c r="I2" s="27">
        <v>91.64</v>
      </c>
      <c r="J2" s="27">
        <v>28.88</v>
      </c>
      <c r="K2" s="28">
        <f>IF(D2="","",IF(MONTH(B3)=MONTH(F2),(F2-B3)/DAY(EOMONTH(F2,0)),DAY(EOMONTH(B3,0)-B3)/DAY(EOMONTH(B3,0))+DAY(F2-EOMONTH(B3,0))/DAY(EOMONTH(F2,0))))</f>
        <v>0.2903225806</v>
      </c>
      <c r="L2" s="28">
        <f t="shared" ref="L2:L27" si="2">IF(D2="","",G2-M2)</f>
        <v>230.3170761</v>
      </c>
      <c r="M2" s="27">
        <f>IF(D2="","",B6*((1+$B$7/12)^(K2)-1))</f>
        <v>28.33517385</v>
      </c>
      <c r="N2" s="29"/>
      <c r="O2" s="27">
        <f>IF(D2="","",B6+M2-G2+N2)</f>
        <v>2269.682924</v>
      </c>
      <c r="P2" s="30">
        <v>2408.36</v>
      </c>
      <c r="Q2" s="31"/>
      <c r="R2" s="30">
        <v>0.0</v>
      </c>
      <c r="S2" s="30">
        <v>0.0</v>
      </c>
      <c r="T2" s="30">
        <f>M2</f>
        <v>28.33517385</v>
      </c>
      <c r="U2" s="30">
        <f>B6</f>
        <v>2500</v>
      </c>
    </row>
    <row r="3" ht="15.0" customHeight="1">
      <c r="A3" s="10" t="s">
        <v>2</v>
      </c>
      <c r="B3" s="20">
        <f>'Loan info'!B4</f>
        <v>44846</v>
      </c>
      <c r="D3" s="32">
        <f t="shared" ref="D3:D27" si="3">IF(D2="", "",IF(D2+1&gt;$B$8,"",D2+1))</f>
        <v>2</v>
      </c>
      <c r="E3" s="1" t="str">
        <f t="shared" ref="E3:E27" si="4">IF(D3="","","Due Pmt")</f>
        <v>Due Pmt</v>
      </c>
      <c r="F3" s="33">
        <f t="shared" ref="F3:F27" si="5">IF(D3="", "", IF($B$5="Byweekly", F2+14,IF($B$5="End of month",EOMONTH(F2, 1),EDATE($F$2,D3-1))))</f>
        <v>44886</v>
      </c>
      <c r="G3" s="34">
        <f t="shared" ref="G3:G27" si="6">IF(D3="","",$G$2)</f>
        <v>258.6522499</v>
      </c>
      <c r="H3" s="35">
        <f t="shared" si="1"/>
        <v>0.475</v>
      </c>
      <c r="I3" s="36">
        <v>77.1</v>
      </c>
      <c r="J3" s="36">
        <v>43.42</v>
      </c>
      <c r="K3" s="37">
        <f t="shared" ref="K3:K27" si="7">IF(D3="","",IF(MONTH(F2)=MONTH(F3),(F3-F2)/DAY(EOMONTH(F3,0)),DAY(EOMONTH(F2,0)-F2)/DAY(EOMONTH(F2,0))+DAY(F3-EOMONTH(F2,0))/DAY(EOMONTH(F3,0))))</f>
        <v>0.9569892473</v>
      </c>
      <c r="L3" s="37">
        <f t="shared" si="2"/>
        <v>172.7469911</v>
      </c>
      <c r="M3" s="36">
        <f t="shared" ref="M3:M27" si="8">IF(D3="","",O2*((1+$B$7/12)^(K3)-1))</f>
        <v>85.90525886</v>
      </c>
      <c r="N3" s="29"/>
      <c r="O3" s="36">
        <f t="shared" ref="O3:O27" si="9">IF(D3="","",O2+M3-G3+N3)</f>
        <v>2096.935933</v>
      </c>
      <c r="P3" s="30">
        <v>2331.26</v>
      </c>
      <c r="Q3" s="38"/>
      <c r="R3" s="30">
        <v>0.0</v>
      </c>
      <c r="S3" s="30">
        <v>0.0</v>
      </c>
      <c r="T3" s="30">
        <f t="shared" ref="T3:T27" si="10">T2+M3</f>
        <v>114.2404327</v>
      </c>
      <c r="U3" s="30">
        <v>2500.0</v>
      </c>
    </row>
    <row r="4" ht="15.0" customHeight="1">
      <c r="A4" s="10" t="s">
        <v>3</v>
      </c>
      <c r="B4" s="20">
        <f>'Loan info'!B5</f>
        <v>44855</v>
      </c>
      <c r="D4" s="32">
        <f t="shared" si="3"/>
        <v>3</v>
      </c>
      <c r="E4" s="1" t="str">
        <f t="shared" si="4"/>
        <v>Due Pmt</v>
      </c>
      <c r="F4" s="33">
        <f t="shared" si="5"/>
        <v>44916</v>
      </c>
      <c r="G4" s="34">
        <f t="shared" si="6"/>
        <v>258.6522499</v>
      </c>
      <c r="H4" s="35">
        <f t="shared" si="1"/>
        <v>0.475</v>
      </c>
      <c r="I4" s="36">
        <v>78.49</v>
      </c>
      <c r="J4" s="36">
        <v>42.03</v>
      </c>
      <c r="K4" s="37">
        <f t="shared" si="7"/>
        <v>0.911827957</v>
      </c>
      <c r="L4" s="37">
        <f t="shared" si="2"/>
        <v>183.0973608</v>
      </c>
      <c r="M4" s="36">
        <f t="shared" si="8"/>
        <v>75.5548891</v>
      </c>
      <c r="N4" s="29"/>
      <c r="O4" s="36">
        <f t="shared" si="9"/>
        <v>1913.838572</v>
      </c>
      <c r="P4" s="30">
        <v>2252.77</v>
      </c>
      <c r="Q4" s="31"/>
      <c r="R4" s="30">
        <v>0.0</v>
      </c>
      <c r="S4" s="30">
        <v>0.0</v>
      </c>
      <c r="T4" s="30">
        <f t="shared" si="10"/>
        <v>189.7953218</v>
      </c>
      <c r="U4" s="30">
        <v>2500.0</v>
      </c>
    </row>
    <row r="5" ht="15.0" customHeight="1">
      <c r="A5" s="10" t="s">
        <v>4</v>
      </c>
      <c r="B5" s="39" t="str">
        <f>'Loan info'!B6</f>
        <v>Monthly</v>
      </c>
      <c r="D5" s="32">
        <f t="shared" si="3"/>
        <v>4</v>
      </c>
      <c r="E5" s="1" t="str">
        <f t="shared" si="4"/>
        <v>Due Pmt</v>
      </c>
      <c r="F5" s="33">
        <f t="shared" si="5"/>
        <v>44947</v>
      </c>
      <c r="G5" s="34">
        <f t="shared" si="6"/>
        <v>258.6522499</v>
      </c>
      <c r="H5" s="35">
        <f t="shared" si="1"/>
        <v>0.475</v>
      </c>
      <c r="I5" s="36">
        <v>79.91</v>
      </c>
      <c r="J5" s="36">
        <v>40.61</v>
      </c>
      <c r="K5" s="37">
        <f t="shared" si="7"/>
        <v>0.935483871</v>
      </c>
      <c r="L5" s="37">
        <f t="shared" si="2"/>
        <v>187.872876</v>
      </c>
      <c r="M5" s="36">
        <f t="shared" si="8"/>
        <v>70.77937397</v>
      </c>
      <c r="N5" s="29"/>
      <c r="O5" s="36">
        <f t="shared" si="9"/>
        <v>1725.965696</v>
      </c>
      <c r="P5" s="30">
        <v>2172.86</v>
      </c>
      <c r="Q5" s="31"/>
      <c r="R5" s="30">
        <v>0.0</v>
      </c>
      <c r="S5" s="30">
        <v>0.0</v>
      </c>
      <c r="T5" s="30">
        <f t="shared" si="10"/>
        <v>260.5746958</v>
      </c>
      <c r="U5" s="30">
        <v>2500.0</v>
      </c>
    </row>
    <row r="6" ht="15.0" customHeight="1">
      <c r="A6" s="10" t="s">
        <v>6</v>
      </c>
      <c r="B6" s="40">
        <f>'Loan info'!B7</f>
        <v>2500</v>
      </c>
      <c r="D6" s="32">
        <f t="shared" si="3"/>
        <v>5</v>
      </c>
      <c r="E6" s="1" t="str">
        <f t="shared" si="4"/>
        <v>Due Pmt</v>
      </c>
      <c r="F6" s="33">
        <f t="shared" si="5"/>
        <v>44978</v>
      </c>
      <c r="G6" s="34">
        <f t="shared" si="6"/>
        <v>258.6522499</v>
      </c>
      <c r="H6" s="35">
        <f t="shared" si="1"/>
        <v>0.475</v>
      </c>
      <c r="I6" s="36">
        <v>81.35</v>
      </c>
      <c r="J6" s="36">
        <v>39.17</v>
      </c>
      <c r="K6" s="37">
        <f t="shared" si="7"/>
        <v>1.004608295</v>
      </c>
      <c r="L6" s="37">
        <f t="shared" si="2"/>
        <v>190.011759</v>
      </c>
      <c r="M6" s="36">
        <f t="shared" si="8"/>
        <v>68.64049098</v>
      </c>
      <c r="N6" s="29"/>
      <c r="O6" s="36">
        <f t="shared" si="9"/>
        <v>1535.953937</v>
      </c>
      <c r="P6" s="30">
        <v>2091.51</v>
      </c>
      <c r="Q6" s="31"/>
      <c r="R6" s="30">
        <v>0.0</v>
      </c>
      <c r="S6" s="30">
        <v>0.0</v>
      </c>
      <c r="T6" s="30">
        <f t="shared" si="10"/>
        <v>329.2151868</v>
      </c>
      <c r="U6" s="30">
        <v>2500.0</v>
      </c>
    </row>
    <row r="7" ht="15.0" customHeight="1">
      <c r="A7" s="10" t="s">
        <v>7</v>
      </c>
      <c r="B7" s="41">
        <f>'Loan info'!B8</f>
        <v>0.475</v>
      </c>
      <c r="C7" s="42"/>
      <c r="D7" s="32">
        <f t="shared" si="3"/>
        <v>6</v>
      </c>
      <c r="E7" s="1" t="str">
        <f t="shared" si="4"/>
        <v>Due Pmt</v>
      </c>
      <c r="F7" s="33">
        <f t="shared" si="5"/>
        <v>45006</v>
      </c>
      <c r="G7" s="34">
        <f t="shared" si="6"/>
        <v>258.6522499</v>
      </c>
      <c r="H7" s="35">
        <f t="shared" si="1"/>
        <v>0.475</v>
      </c>
      <c r="I7" s="36">
        <v>82.81</v>
      </c>
      <c r="J7" s="36">
        <v>37.71</v>
      </c>
      <c r="K7" s="37">
        <f t="shared" si="7"/>
        <v>0.8594470046</v>
      </c>
      <c r="L7" s="37">
        <f t="shared" si="2"/>
        <v>206.5426526</v>
      </c>
      <c r="M7" s="36">
        <f t="shared" si="8"/>
        <v>52.10959735</v>
      </c>
      <c r="N7" s="29"/>
      <c r="O7" s="36">
        <f t="shared" si="9"/>
        <v>1329.411284</v>
      </c>
      <c r="P7" s="30">
        <v>2008.7</v>
      </c>
      <c r="Q7" s="31"/>
      <c r="R7" s="30">
        <v>0.0</v>
      </c>
      <c r="S7" s="30">
        <v>0.0</v>
      </c>
      <c r="T7" s="30">
        <f t="shared" si="10"/>
        <v>381.3247841</v>
      </c>
      <c r="U7" s="30">
        <v>2500.0</v>
      </c>
    </row>
    <row r="8" ht="15.0" customHeight="1">
      <c r="A8" s="10" t="s">
        <v>8</v>
      </c>
      <c r="B8" s="43">
        <f>'Loan info'!B9</f>
        <v>12</v>
      </c>
      <c r="C8" s="44"/>
      <c r="D8" s="32">
        <f t="shared" si="3"/>
        <v>7</v>
      </c>
      <c r="E8" s="1" t="str">
        <f t="shared" si="4"/>
        <v>Due Pmt</v>
      </c>
      <c r="F8" s="33">
        <f t="shared" si="5"/>
        <v>45037</v>
      </c>
      <c r="G8" s="34">
        <f t="shared" si="6"/>
        <v>258.6522499</v>
      </c>
      <c r="H8" s="35">
        <f t="shared" si="1"/>
        <v>0.475</v>
      </c>
      <c r="I8" s="36">
        <v>84.31</v>
      </c>
      <c r="J8" s="36">
        <v>36.21</v>
      </c>
      <c r="K8" s="37">
        <f t="shared" si="7"/>
        <v>0.9569892473</v>
      </c>
      <c r="L8" s="37">
        <f t="shared" si="2"/>
        <v>208.3353447</v>
      </c>
      <c r="M8" s="36">
        <f t="shared" si="8"/>
        <v>50.3169052</v>
      </c>
      <c r="N8" s="29"/>
      <c r="O8" s="36">
        <f t="shared" si="9"/>
        <v>1121.07594</v>
      </c>
      <c r="P8" s="30">
        <v>1924.39</v>
      </c>
      <c r="Q8" s="31"/>
      <c r="R8" s="30">
        <v>0.0</v>
      </c>
      <c r="S8" s="30">
        <v>0.0</v>
      </c>
      <c r="T8" s="30">
        <f t="shared" si="10"/>
        <v>431.6416893</v>
      </c>
      <c r="U8" s="30">
        <v>2500.0</v>
      </c>
    </row>
    <row r="9" ht="15.0" customHeight="1">
      <c r="A9" s="9"/>
      <c r="B9" s="9"/>
      <c r="C9" s="44"/>
      <c r="D9" s="32">
        <f t="shared" si="3"/>
        <v>8</v>
      </c>
      <c r="E9" s="1" t="str">
        <f t="shared" si="4"/>
        <v>Due Pmt</v>
      </c>
      <c r="F9" s="33">
        <f t="shared" si="5"/>
        <v>45067</v>
      </c>
      <c r="G9" s="34">
        <f t="shared" si="6"/>
        <v>258.6522499</v>
      </c>
      <c r="H9" s="35">
        <f t="shared" si="1"/>
        <v>0.475</v>
      </c>
      <c r="I9" s="36">
        <v>85.83</v>
      </c>
      <c r="J9" s="36">
        <v>34.69</v>
      </c>
      <c r="K9" s="37">
        <f t="shared" si="7"/>
        <v>0.911827957</v>
      </c>
      <c r="L9" s="37">
        <f t="shared" si="2"/>
        <v>218.2586609</v>
      </c>
      <c r="M9" s="36">
        <f t="shared" si="8"/>
        <v>40.39358903</v>
      </c>
      <c r="N9" s="29"/>
      <c r="O9" s="36">
        <f t="shared" si="9"/>
        <v>902.8172788</v>
      </c>
      <c r="P9" s="30">
        <v>1838.56</v>
      </c>
      <c r="Q9" s="31"/>
      <c r="R9" s="30">
        <v>0.0</v>
      </c>
      <c r="S9" s="30">
        <v>0.0</v>
      </c>
      <c r="T9" s="30">
        <f t="shared" si="10"/>
        <v>472.0352783</v>
      </c>
      <c r="U9" s="30">
        <v>2500.0</v>
      </c>
    </row>
    <row r="10" ht="15.0" customHeight="1">
      <c r="A10" s="10" t="s">
        <v>56</v>
      </c>
      <c r="B10" s="45">
        <v>258.65224993862114</v>
      </c>
      <c r="C10" s="46" t="s">
        <v>57</v>
      </c>
      <c r="D10" s="32">
        <f t="shared" si="3"/>
        <v>9</v>
      </c>
      <c r="E10" s="1" t="str">
        <f t="shared" si="4"/>
        <v>Due Pmt</v>
      </c>
      <c r="F10" s="33">
        <f t="shared" si="5"/>
        <v>45098</v>
      </c>
      <c r="G10" s="34">
        <f t="shared" si="6"/>
        <v>258.6522499</v>
      </c>
      <c r="H10" s="35">
        <f t="shared" si="1"/>
        <v>0.475</v>
      </c>
      <c r="I10" s="36">
        <v>87.37</v>
      </c>
      <c r="J10" s="36">
        <v>33.15</v>
      </c>
      <c r="K10" s="37">
        <f t="shared" si="7"/>
        <v>0.9569892473</v>
      </c>
      <c r="L10" s="37">
        <f t="shared" si="2"/>
        <v>224.4815069</v>
      </c>
      <c r="M10" s="36">
        <f t="shared" si="8"/>
        <v>34.17074307</v>
      </c>
      <c r="N10" s="29"/>
      <c r="O10" s="36">
        <f t="shared" si="9"/>
        <v>678.335772</v>
      </c>
      <c r="P10" s="30">
        <v>1751.19</v>
      </c>
      <c r="Q10" s="31"/>
      <c r="R10" s="30">
        <v>0.0</v>
      </c>
      <c r="S10" s="30">
        <v>0.0</v>
      </c>
      <c r="T10" s="30">
        <f t="shared" si="10"/>
        <v>506.2060214</v>
      </c>
      <c r="U10" s="30">
        <v>2500.0</v>
      </c>
    </row>
    <row r="11" ht="15.0" customHeight="1">
      <c r="D11" s="32">
        <f t="shared" si="3"/>
        <v>10</v>
      </c>
      <c r="E11" s="1" t="str">
        <f t="shared" si="4"/>
        <v>Due Pmt</v>
      </c>
      <c r="F11" s="33">
        <f t="shared" si="5"/>
        <v>45128</v>
      </c>
      <c r="G11" s="34">
        <f t="shared" si="6"/>
        <v>258.6522499</v>
      </c>
      <c r="H11" s="35">
        <f t="shared" si="1"/>
        <v>0.475</v>
      </c>
      <c r="I11" s="36">
        <v>88.95</v>
      </c>
      <c r="J11" s="36">
        <v>31.57</v>
      </c>
      <c r="K11" s="37">
        <f t="shared" si="7"/>
        <v>0.911827957</v>
      </c>
      <c r="L11" s="37">
        <f t="shared" si="2"/>
        <v>234.2110721</v>
      </c>
      <c r="M11" s="36">
        <f t="shared" si="8"/>
        <v>24.44117783</v>
      </c>
      <c r="N11" s="29"/>
      <c r="O11" s="36">
        <f t="shared" si="9"/>
        <v>444.1246999</v>
      </c>
      <c r="P11" s="30">
        <v>1662.24</v>
      </c>
      <c r="Q11" s="31"/>
      <c r="R11" s="30">
        <v>0.0</v>
      </c>
      <c r="S11" s="30">
        <v>0.0</v>
      </c>
      <c r="T11" s="30">
        <f t="shared" si="10"/>
        <v>530.6471992</v>
      </c>
      <c r="U11" s="30">
        <v>2500.0</v>
      </c>
    </row>
    <row r="12" ht="15.0" customHeight="1">
      <c r="A12" s="47" t="s">
        <v>58</v>
      </c>
      <c r="D12" s="32">
        <f t="shared" si="3"/>
        <v>11</v>
      </c>
      <c r="E12" s="1" t="str">
        <f t="shared" si="4"/>
        <v>Due Pmt</v>
      </c>
      <c r="F12" s="33">
        <f t="shared" si="5"/>
        <v>45159</v>
      </c>
      <c r="G12" s="34">
        <f t="shared" si="6"/>
        <v>258.6522499</v>
      </c>
      <c r="H12" s="35">
        <f t="shared" si="1"/>
        <v>0.475</v>
      </c>
      <c r="I12" s="36">
        <v>90.55</v>
      </c>
      <c r="J12" s="36">
        <v>29.97</v>
      </c>
      <c r="K12" s="37">
        <f t="shared" si="7"/>
        <v>0.935483871</v>
      </c>
      <c r="L12" s="37">
        <f t="shared" si="2"/>
        <v>242.2272135</v>
      </c>
      <c r="M12" s="36">
        <f t="shared" si="8"/>
        <v>16.42503641</v>
      </c>
      <c r="N12" s="29"/>
      <c r="O12" s="36">
        <f t="shared" si="9"/>
        <v>201.8974863</v>
      </c>
      <c r="P12" s="30">
        <v>1571.69</v>
      </c>
      <c r="Q12" s="31"/>
      <c r="R12" s="30">
        <v>0.0</v>
      </c>
      <c r="S12" s="30">
        <v>0.0</v>
      </c>
      <c r="T12" s="30">
        <f t="shared" si="10"/>
        <v>547.0722356</v>
      </c>
      <c r="U12" s="30">
        <v>2500.0</v>
      </c>
    </row>
    <row r="13" ht="15.0" customHeight="1">
      <c r="A13" s="47" t="s">
        <v>59</v>
      </c>
      <c r="B13" s="48">
        <f>B7</f>
        <v>0.475</v>
      </c>
      <c r="D13" s="32">
        <f t="shared" si="3"/>
        <v>12</v>
      </c>
      <c r="E13" s="1" t="str">
        <f t="shared" si="4"/>
        <v>Due Pmt</v>
      </c>
      <c r="F13" s="33">
        <f t="shared" si="5"/>
        <v>45190</v>
      </c>
      <c r="G13" s="34">
        <f t="shared" si="6"/>
        <v>258.6522499</v>
      </c>
      <c r="H13" s="35">
        <f t="shared" si="1"/>
        <v>0.475</v>
      </c>
      <c r="I13" s="36">
        <v>92.18</v>
      </c>
      <c r="J13" s="36">
        <v>28.34</v>
      </c>
      <c r="K13" s="37">
        <f t="shared" si="7"/>
        <v>0.9569892473</v>
      </c>
      <c r="L13" s="37">
        <f t="shared" si="2"/>
        <v>251.0106293</v>
      </c>
      <c r="M13" s="36">
        <f t="shared" si="8"/>
        <v>7.641620617</v>
      </c>
      <c r="N13" s="29"/>
      <c r="O13" s="36">
        <f t="shared" si="9"/>
        <v>-49.113143</v>
      </c>
      <c r="P13" s="30">
        <v>1479.51</v>
      </c>
      <c r="Q13" s="31"/>
      <c r="R13" s="30">
        <v>0.0</v>
      </c>
      <c r="S13" s="30">
        <v>0.0</v>
      </c>
      <c r="T13" s="30">
        <f t="shared" si="10"/>
        <v>554.7138563</v>
      </c>
      <c r="U13" s="30">
        <v>2500.0</v>
      </c>
    </row>
    <row r="14" ht="15.0" customHeight="1">
      <c r="A14" s="47" t="s">
        <v>60</v>
      </c>
      <c r="B14" s="48">
        <f>ROUND((1+B13/12)^12-1,4)</f>
        <v>0.5934</v>
      </c>
      <c r="D14" s="32" t="str">
        <f t="shared" si="3"/>
        <v/>
      </c>
      <c r="E14" s="1" t="str">
        <f t="shared" si="4"/>
        <v/>
      </c>
      <c r="F14" s="33" t="str">
        <f t="shared" si="5"/>
        <v/>
      </c>
      <c r="G14" s="34" t="str">
        <f t="shared" si="6"/>
        <v/>
      </c>
      <c r="H14" s="35">
        <f t="shared" si="1"/>
        <v>0.475</v>
      </c>
      <c r="I14" s="36">
        <v>93.85</v>
      </c>
      <c r="J14" s="36">
        <v>26.67</v>
      </c>
      <c r="K14" s="37" t="str">
        <f t="shared" si="7"/>
        <v/>
      </c>
      <c r="L14" s="37" t="str">
        <f t="shared" si="2"/>
        <v/>
      </c>
      <c r="M14" s="36" t="str">
        <f t="shared" si="8"/>
        <v/>
      </c>
      <c r="N14" s="29"/>
      <c r="O14" s="36" t="str">
        <f t="shared" si="9"/>
        <v/>
      </c>
      <c r="P14" s="30">
        <v>1385.66</v>
      </c>
      <c r="Q14" s="31"/>
      <c r="R14" s="30">
        <v>0.0</v>
      </c>
      <c r="S14" s="30">
        <v>0.0</v>
      </c>
      <c r="T14" s="30">
        <f t="shared" si="10"/>
        <v>554.7138563</v>
      </c>
      <c r="U14" s="30">
        <v>2500.0</v>
      </c>
    </row>
    <row r="15" ht="15.0" customHeight="1">
      <c r="A15" s="47" t="s">
        <v>61</v>
      </c>
      <c r="B15" s="48"/>
      <c r="D15" s="32" t="str">
        <f t="shared" si="3"/>
        <v/>
      </c>
      <c r="E15" s="1" t="str">
        <f t="shared" si="4"/>
        <v/>
      </c>
      <c r="F15" s="33" t="str">
        <f t="shared" si="5"/>
        <v/>
      </c>
      <c r="G15" s="34" t="str">
        <f t="shared" si="6"/>
        <v/>
      </c>
      <c r="H15" s="35">
        <f t="shared" si="1"/>
        <v>0.475</v>
      </c>
      <c r="I15" s="36">
        <v>95.54</v>
      </c>
      <c r="J15" s="36">
        <v>24.98</v>
      </c>
      <c r="K15" s="37" t="str">
        <f t="shared" si="7"/>
        <v/>
      </c>
      <c r="L15" s="37" t="str">
        <f t="shared" si="2"/>
        <v/>
      </c>
      <c r="M15" s="36" t="str">
        <f t="shared" si="8"/>
        <v/>
      </c>
      <c r="N15" s="29"/>
      <c r="O15" s="36" t="str">
        <f t="shared" si="9"/>
        <v/>
      </c>
      <c r="P15" s="30">
        <v>1290.12</v>
      </c>
      <c r="Q15" s="31"/>
      <c r="R15" s="30">
        <v>0.0</v>
      </c>
      <c r="S15" s="30">
        <v>0.0</v>
      </c>
      <c r="T15" s="30">
        <f t="shared" si="10"/>
        <v>554.7138563</v>
      </c>
      <c r="U15" s="30">
        <v>2500.0</v>
      </c>
    </row>
    <row r="16" ht="15.0" customHeight="1">
      <c r="A16" s="47" t="s">
        <v>59</v>
      </c>
      <c r="B16" s="48">
        <f>B13</f>
        <v>0.475</v>
      </c>
      <c r="D16" s="32" t="str">
        <f t="shared" si="3"/>
        <v/>
      </c>
      <c r="E16" s="1" t="str">
        <f t="shared" si="4"/>
        <v/>
      </c>
      <c r="F16" s="33" t="str">
        <f t="shared" si="5"/>
        <v/>
      </c>
      <c r="G16" s="34" t="str">
        <f t="shared" si="6"/>
        <v/>
      </c>
      <c r="H16" s="35">
        <f t="shared" si="1"/>
        <v>0.475</v>
      </c>
      <c r="I16" s="36">
        <v>97.26</v>
      </c>
      <c r="J16" s="36">
        <v>23.26</v>
      </c>
      <c r="K16" s="37" t="str">
        <f t="shared" si="7"/>
        <v/>
      </c>
      <c r="L16" s="37" t="str">
        <f t="shared" si="2"/>
        <v/>
      </c>
      <c r="M16" s="36" t="str">
        <f t="shared" si="8"/>
        <v/>
      </c>
      <c r="N16" s="29"/>
      <c r="O16" s="36" t="str">
        <f t="shared" si="9"/>
        <v/>
      </c>
      <c r="P16" s="30">
        <v>1192.86</v>
      </c>
      <c r="Q16" s="31"/>
      <c r="R16" s="30">
        <v>0.0</v>
      </c>
      <c r="S16" s="30">
        <v>0.0</v>
      </c>
      <c r="T16" s="30">
        <f t="shared" si="10"/>
        <v>554.7138563</v>
      </c>
      <c r="U16" s="30">
        <v>2500.0</v>
      </c>
    </row>
    <row r="17" ht="15.0" customHeight="1">
      <c r="A17" s="47" t="s">
        <v>60</v>
      </c>
      <c r="B17" s="48">
        <f>(1+B16/12)^12-1</f>
        <v>0.5933518868</v>
      </c>
      <c r="D17" s="32" t="str">
        <f t="shared" si="3"/>
        <v/>
      </c>
      <c r="E17" s="1" t="str">
        <f t="shared" si="4"/>
        <v/>
      </c>
      <c r="F17" s="33" t="str">
        <f t="shared" si="5"/>
        <v/>
      </c>
      <c r="G17" s="34" t="str">
        <f t="shared" si="6"/>
        <v/>
      </c>
      <c r="H17" s="35">
        <f t="shared" si="1"/>
        <v>0.475</v>
      </c>
      <c r="I17" s="36">
        <v>99.01</v>
      </c>
      <c r="J17" s="36">
        <v>21.51</v>
      </c>
      <c r="K17" s="37" t="str">
        <f t="shared" si="7"/>
        <v/>
      </c>
      <c r="L17" s="37" t="str">
        <f t="shared" si="2"/>
        <v/>
      </c>
      <c r="M17" s="36" t="str">
        <f t="shared" si="8"/>
        <v/>
      </c>
      <c r="N17" s="29"/>
      <c r="O17" s="36" t="str">
        <f t="shared" si="9"/>
        <v/>
      </c>
      <c r="P17" s="30">
        <v>1093.85</v>
      </c>
      <c r="Q17" s="31"/>
      <c r="R17" s="30">
        <v>0.0</v>
      </c>
      <c r="S17" s="30">
        <v>0.0</v>
      </c>
      <c r="T17" s="30">
        <f t="shared" si="10"/>
        <v>554.7138563</v>
      </c>
      <c r="U17" s="30">
        <v>2500.0</v>
      </c>
    </row>
    <row r="18" ht="15.0" customHeight="1">
      <c r="C18" s="49"/>
      <c r="D18" s="32" t="str">
        <f t="shared" si="3"/>
        <v/>
      </c>
      <c r="E18" s="1" t="str">
        <f t="shared" si="4"/>
        <v/>
      </c>
      <c r="F18" s="33" t="str">
        <f t="shared" si="5"/>
        <v/>
      </c>
      <c r="G18" s="34" t="str">
        <f t="shared" si="6"/>
        <v/>
      </c>
      <c r="H18" s="35">
        <f t="shared" si="1"/>
        <v>0.475</v>
      </c>
      <c r="I18" s="36">
        <v>100.8</v>
      </c>
      <c r="J18" s="36">
        <v>19.72</v>
      </c>
      <c r="K18" s="37" t="str">
        <f t="shared" si="7"/>
        <v/>
      </c>
      <c r="L18" s="37" t="str">
        <f t="shared" si="2"/>
        <v/>
      </c>
      <c r="M18" s="36" t="str">
        <f t="shared" si="8"/>
        <v/>
      </c>
      <c r="N18" s="29"/>
      <c r="O18" s="36" t="str">
        <f t="shared" si="9"/>
        <v/>
      </c>
      <c r="P18" s="30">
        <v>993.05</v>
      </c>
      <c r="Q18" s="31"/>
      <c r="R18" s="30">
        <v>0.0</v>
      </c>
      <c r="S18" s="30">
        <v>0.0</v>
      </c>
      <c r="T18" s="30">
        <f t="shared" si="10"/>
        <v>554.7138563</v>
      </c>
      <c r="U18" s="30">
        <v>2500.0</v>
      </c>
    </row>
    <row r="19" ht="15.0" customHeight="1">
      <c r="A19" s="47" t="s">
        <v>62</v>
      </c>
      <c r="B19" s="47" t="s">
        <v>5</v>
      </c>
      <c r="D19" s="32" t="str">
        <f t="shared" si="3"/>
        <v/>
      </c>
      <c r="E19" s="1" t="str">
        <f t="shared" si="4"/>
        <v/>
      </c>
      <c r="F19" s="33" t="str">
        <f t="shared" si="5"/>
        <v/>
      </c>
      <c r="G19" s="34" t="str">
        <f t="shared" si="6"/>
        <v/>
      </c>
      <c r="H19" s="35">
        <f t="shared" si="1"/>
        <v>0.475</v>
      </c>
      <c r="I19" s="36">
        <v>102.62</v>
      </c>
      <c r="J19" s="36">
        <v>17.9</v>
      </c>
      <c r="K19" s="37" t="str">
        <f t="shared" si="7"/>
        <v/>
      </c>
      <c r="L19" s="37" t="str">
        <f t="shared" si="2"/>
        <v/>
      </c>
      <c r="M19" s="36" t="str">
        <f t="shared" si="8"/>
        <v/>
      </c>
      <c r="N19" s="29"/>
      <c r="O19" s="36" t="str">
        <f t="shared" si="9"/>
        <v/>
      </c>
      <c r="P19" s="30">
        <v>890.43</v>
      </c>
      <c r="Q19" s="31"/>
      <c r="R19" s="30">
        <v>0.0</v>
      </c>
      <c r="S19" s="30">
        <v>0.0</v>
      </c>
      <c r="T19" s="30">
        <f t="shared" si="10"/>
        <v>554.7138563</v>
      </c>
      <c r="U19" s="30">
        <v>2500.0</v>
      </c>
    </row>
    <row r="20" ht="15.0" customHeight="1">
      <c r="A20" s="47" t="s">
        <v>63</v>
      </c>
      <c r="B20" s="49">
        <f>INDIRECT(ADDRESS(B8+1,6))</f>
        <v>45190</v>
      </c>
      <c r="D20" s="32" t="str">
        <f t="shared" si="3"/>
        <v/>
      </c>
      <c r="E20" s="1" t="str">
        <f t="shared" si="4"/>
        <v/>
      </c>
      <c r="F20" s="33" t="str">
        <f t="shared" si="5"/>
        <v/>
      </c>
      <c r="G20" s="34" t="str">
        <f t="shared" si="6"/>
        <v/>
      </c>
      <c r="H20" s="35">
        <f t="shared" si="1"/>
        <v>0.475</v>
      </c>
      <c r="I20" s="36">
        <v>104.47</v>
      </c>
      <c r="J20" s="36">
        <v>16.05</v>
      </c>
      <c r="K20" s="37" t="str">
        <f t="shared" si="7"/>
        <v/>
      </c>
      <c r="L20" s="37" t="str">
        <f t="shared" si="2"/>
        <v/>
      </c>
      <c r="M20" s="36" t="str">
        <f t="shared" si="8"/>
        <v/>
      </c>
      <c r="N20" s="29"/>
      <c r="O20" s="36" t="str">
        <f t="shared" si="9"/>
        <v/>
      </c>
      <c r="P20" s="30">
        <v>785.96</v>
      </c>
      <c r="Q20" s="31"/>
      <c r="R20" s="30">
        <v>0.0</v>
      </c>
      <c r="S20" s="30">
        <v>0.0</v>
      </c>
      <c r="T20" s="30">
        <f t="shared" si="10"/>
        <v>554.7138563</v>
      </c>
      <c r="U20" s="30">
        <v>2500.0</v>
      </c>
    </row>
    <row r="21" ht="15.0" customHeight="1">
      <c r="A21" s="50" t="s">
        <v>64</v>
      </c>
      <c r="B21" s="44">
        <f>M30</f>
        <v>554.71</v>
      </c>
      <c r="D21" s="32" t="str">
        <f t="shared" si="3"/>
        <v/>
      </c>
      <c r="E21" s="1" t="str">
        <f t="shared" si="4"/>
        <v/>
      </c>
      <c r="F21" s="33" t="str">
        <f t="shared" si="5"/>
        <v/>
      </c>
      <c r="G21" s="34" t="str">
        <f t="shared" si="6"/>
        <v/>
      </c>
      <c r="H21" s="35">
        <f t="shared" si="1"/>
        <v>0.475</v>
      </c>
      <c r="I21" s="36">
        <v>106.35</v>
      </c>
      <c r="J21" s="36">
        <v>14.17</v>
      </c>
      <c r="K21" s="37" t="str">
        <f t="shared" si="7"/>
        <v/>
      </c>
      <c r="L21" s="37" t="str">
        <f t="shared" si="2"/>
        <v/>
      </c>
      <c r="M21" s="36" t="str">
        <f t="shared" si="8"/>
        <v/>
      </c>
      <c r="N21" s="29"/>
      <c r="O21" s="36" t="str">
        <f t="shared" si="9"/>
        <v/>
      </c>
      <c r="P21" s="30">
        <v>679.61</v>
      </c>
      <c r="Q21" s="31"/>
      <c r="R21" s="30">
        <v>0.0</v>
      </c>
      <c r="S21" s="30">
        <v>0.0</v>
      </c>
      <c r="T21" s="30">
        <f t="shared" si="10"/>
        <v>554.7138563</v>
      </c>
      <c r="U21" s="30">
        <v>2500.0</v>
      </c>
    </row>
    <row r="22" ht="15.0" customHeight="1">
      <c r="D22" s="32" t="str">
        <f t="shared" si="3"/>
        <v/>
      </c>
      <c r="E22" s="1" t="str">
        <f t="shared" si="4"/>
        <v/>
      </c>
      <c r="F22" s="33" t="str">
        <f t="shared" si="5"/>
        <v/>
      </c>
      <c r="G22" s="34" t="str">
        <f t="shared" si="6"/>
        <v/>
      </c>
      <c r="H22" s="35">
        <f t="shared" si="1"/>
        <v>0.475</v>
      </c>
      <c r="I22" s="36">
        <v>108.27</v>
      </c>
      <c r="J22" s="36">
        <v>12.25</v>
      </c>
      <c r="K22" s="37" t="str">
        <f t="shared" si="7"/>
        <v/>
      </c>
      <c r="L22" s="37" t="str">
        <f t="shared" si="2"/>
        <v/>
      </c>
      <c r="M22" s="36" t="str">
        <f t="shared" si="8"/>
        <v/>
      </c>
      <c r="N22" s="29"/>
      <c r="O22" s="36" t="str">
        <f t="shared" si="9"/>
        <v/>
      </c>
      <c r="P22" s="30">
        <v>571.34</v>
      </c>
      <c r="Q22" s="31"/>
      <c r="R22" s="30">
        <v>0.0</v>
      </c>
      <c r="S22" s="30">
        <v>0.0</v>
      </c>
      <c r="T22" s="30">
        <f t="shared" si="10"/>
        <v>554.7138563</v>
      </c>
      <c r="U22" s="30">
        <v>2500.0</v>
      </c>
    </row>
    <row r="23" ht="15.0" customHeight="1">
      <c r="D23" s="32" t="str">
        <f t="shared" si="3"/>
        <v/>
      </c>
      <c r="E23" s="1" t="str">
        <f t="shared" si="4"/>
        <v/>
      </c>
      <c r="F23" s="33" t="str">
        <f t="shared" si="5"/>
        <v/>
      </c>
      <c r="G23" s="34" t="str">
        <f t="shared" si="6"/>
        <v/>
      </c>
      <c r="H23" s="35">
        <f t="shared" si="1"/>
        <v>0.475</v>
      </c>
      <c r="I23" s="36">
        <v>110.22</v>
      </c>
      <c r="J23" s="36">
        <v>10.3</v>
      </c>
      <c r="K23" s="37" t="str">
        <f t="shared" si="7"/>
        <v/>
      </c>
      <c r="L23" s="37" t="str">
        <f t="shared" si="2"/>
        <v/>
      </c>
      <c r="M23" s="36" t="str">
        <f t="shared" si="8"/>
        <v/>
      </c>
      <c r="N23" s="29"/>
      <c r="O23" s="36" t="str">
        <f t="shared" si="9"/>
        <v/>
      </c>
      <c r="P23" s="30">
        <v>461.12</v>
      </c>
      <c r="Q23" s="31"/>
      <c r="R23" s="30">
        <v>0.0</v>
      </c>
      <c r="S23" s="30">
        <v>0.0</v>
      </c>
      <c r="T23" s="30">
        <f t="shared" si="10"/>
        <v>554.7138563</v>
      </c>
      <c r="U23" s="30">
        <v>2500.0</v>
      </c>
    </row>
    <row r="24" ht="15.0" customHeight="1">
      <c r="A24" s="51" t="s">
        <v>65</v>
      </c>
      <c r="B24" s="52">
        <f>L30</f>
        <v>2549.113143</v>
      </c>
      <c r="D24" s="32" t="str">
        <f t="shared" si="3"/>
        <v/>
      </c>
      <c r="E24" s="1" t="str">
        <f t="shared" si="4"/>
        <v/>
      </c>
      <c r="F24" s="33" t="str">
        <f t="shared" si="5"/>
        <v/>
      </c>
      <c r="G24" s="34" t="str">
        <f t="shared" si="6"/>
        <v/>
      </c>
      <c r="H24" s="35">
        <f t="shared" si="1"/>
        <v>0.475</v>
      </c>
      <c r="I24" s="36">
        <v>112.21</v>
      </c>
      <c r="J24" s="36">
        <v>8.31</v>
      </c>
      <c r="K24" s="37" t="str">
        <f t="shared" si="7"/>
        <v/>
      </c>
      <c r="L24" s="37" t="str">
        <f t="shared" si="2"/>
        <v/>
      </c>
      <c r="M24" s="36" t="str">
        <f t="shared" si="8"/>
        <v/>
      </c>
      <c r="N24" s="29"/>
      <c r="O24" s="36" t="str">
        <f t="shared" si="9"/>
        <v/>
      </c>
      <c r="P24" s="30">
        <v>348.91</v>
      </c>
      <c r="Q24" s="31"/>
      <c r="R24" s="30">
        <v>0.0</v>
      </c>
      <c r="S24" s="30">
        <v>0.0</v>
      </c>
      <c r="T24" s="30">
        <f t="shared" si="10"/>
        <v>554.7138563</v>
      </c>
      <c r="U24" s="30">
        <v>2500.0</v>
      </c>
    </row>
    <row r="25" ht="15.0" customHeight="1">
      <c r="D25" s="32" t="str">
        <f t="shared" si="3"/>
        <v/>
      </c>
      <c r="E25" s="1" t="str">
        <f t="shared" si="4"/>
        <v/>
      </c>
      <c r="F25" s="33" t="str">
        <f t="shared" si="5"/>
        <v/>
      </c>
      <c r="G25" s="34" t="str">
        <f t="shared" si="6"/>
        <v/>
      </c>
      <c r="H25" s="35">
        <f t="shared" si="1"/>
        <v>0.475</v>
      </c>
      <c r="I25" s="36">
        <v>114.23</v>
      </c>
      <c r="J25" s="36">
        <v>6.29</v>
      </c>
      <c r="K25" s="37" t="str">
        <f t="shared" si="7"/>
        <v/>
      </c>
      <c r="L25" s="37" t="str">
        <f t="shared" si="2"/>
        <v/>
      </c>
      <c r="M25" s="36" t="str">
        <f t="shared" si="8"/>
        <v/>
      </c>
      <c r="N25" s="29"/>
      <c r="O25" s="36" t="str">
        <f t="shared" si="9"/>
        <v/>
      </c>
      <c r="P25" s="30">
        <v>234.68</v>
      </c>
      <c r="Q25" s="31"/>
      <c r="R25" s="30">
        <v>0.0</v>
      </c>
      <c r="S25" s="30">
        <v>0.0</v>
      </c>
      <c r="T25" s="30">
        <f t="shared" si="10"/>
        <v>554.7138563</v>
      </c>
      <c r="U25" s="30">
        <v>2500.0</v>
      </c>
    </row>
    <row r="26" ht="15.0" customHeight="1">
      <c r="A26" s="51" t="s">
        <v>66</v>
      </c>
      <c r="B26" s="53">
        <f>F13</f>
        <v>45190</v>
      </c>
      <c r="D26" s="32" t="str">
        <f t="shared" si="3"/>
        <v/>
      </c>
      <c r="E26" s="1" t="str">
        <f t="shared" si="4"/>
        <v/>
      </c>
      <c r="F26" s="33" t="str">
        <f t="shared" si="5"/>
        <v/>
      </c>
      <c r="G26" s="34" t="str">
        <f t="shared" si="6"/>
        <v/>
      </c>
      <c r="H26" s="35">
        <f t="shared" si="1"/>
        <v>0.475</v>
      </c>
      <c r="I26" s="36">
        <v>116.29</v>
      </c>
      <c r="J26" s="36">
        <v>4.23</v>
      </c>
      <c r="K26" s="37" t="str">
        <f t="shared" si="7"/>
        <v/>
      </c>
      <c r="L26" s="37" t="str">
        <f t="shared" si="2"/>
        <v/>
      </c>
      <c r="M26" s="36" t="str">
        <f t="shared" si="8"/>
        <v/>
      </c>
      <c r="N26" s="29"/>
      <c r="O26" s="36" t="str">
        <f t="shared" si="9"/>
        <v/>
      </c>
      <c r="P26" s="30">
        <v>118.39</v>
      </c>
      <c r="Q26" s="31"/>
      <c r="R26" s="30">
        <v>0.0</v>
      </c>
      <c r="S26" s="30">
        <v>0.0</v>
      </c>
      <c r="T26" s="30">
        <f t="shared" si="10"/>
        <v>554.7138563</v>
      </c>
      <c r="U26" s="30">
        <v>2500.0</v>
      </c>
    </row>
    <row r="27" ht="15.0" customHeight="1">
      <c r="D27" s="32" t="str">
        <f t="shared" si="3"/>
        <v/>
      </c>
      <c r="E27" s="1" t="str">
        <f t="shared" si="4"/>
        <v/>
      </c>
      <c r="F27" s="33" t="str">
        <f t="shared" si="5"/>
        <v/>
      </c>
      <c r="G27" s="34" t="str">
        <f t="shared" si="6"/>
        <v/>
      </c>
      <c r="H27" s="35">
        <f t="shared" si="1"/>
        <v>0.475</v>
      </c>
      <c r="I27" s="36">
        <v>118.39</v>
      </c>
      <c r="J27" s="36">
        <v>2.13</v>
      </c>
      <c r="K27" s="37" t="str">
        <f t="shared" si="7"/>
        <v/>
      </c>
      <c r="L27" s="37" t="str">
        <f t="shared" si="2"/>
        <v/>
      </c>
      <c r="M27" s="36" t="str">
        <f t="shared" si="8"/>
        <v/>
      </c>
      <c r="N27" s="29"/>
      <c r="O27" s="36" t="str">
        <f t="shared" si="9"/>
        <v/>
      </c>
      <c r="P27" s="30">
        <v>0.0</v>
      </c>
      <c r="Q27" s="31"/>
      <c r="R27" s="30">
        <v>0.0</v>
      </c>
      <c r="S27" s="30">
        <v>0.0</v>
      </c>
      <c r="T27" s="30">
        <f t="shared" si="10"/>
        <v>554.7138563</v>
      </c>
      <c r="U27" s="30">
        <v>2500.0</v>
      </c>
    </row>
    <row r="28" ht="15.0" customHeight="1">
      <c r="A28" s="51" t="s">
        <v>67</v>
      </c>
      <c r="B28" s="51" t="s">
        <v>68</v>
      </c>
      <c r="D28" s="54"/>
      <c r="E28" s="31"/>
      <c r="F28" s="55"/>
      <c r="G28" s="56"/>
      <c r="H28" s="57"/>
      <c r="I28" s="30"/>
      <c r="J28" s="30"/>
      <c r="K28" s="58"/>
      <c r="L28" s="58"/>
      <c r="M28" s="30"/>
      <c r="N28" s="30"/>
      <c r="O28" s="30"/>
      <c r="P28" s="30"/>
      <c r="Q28" s="31"/>
      <c r="R28" s="30"/>
      <c r="S28" s="30"/>
      <c r="T28" s="30"/>
      <c r="U28" s="30"/>
    </row>
    <row r="29" ht="15.0" customHeight="1">
      <c r="D29" s="54"/>
      <c r="E29" s="31"/>
      <c r="F29" s="55"/>
      <c r="G29" s="56"/>
      <c r="H29" s="57"/>
      <c r="I29" s="30"/>
      <c r="J29" s="30"/>
      <c r="K29" s="30"/>
      <c r="L29" s="30"/>
      <c r="M29" s="30"/>
      <c r="N29" s="30"/>
      <c r="O29" s="30"/>
      <c r="P29" s="30"/>
      <c r="Q29" s="31"/>
      <c r="R29" s="30"/>
      <c r="S29" s="30"/>
      <c r="T29" s="30"/>
      <c r="U29" s="30"/>
    </row>
    <row r="30" ht="15.75" customHeight="1">
      <c r="D30" s="59" t="s">
        <v>69</v>
      </c>
      <c r="G30" s="56">
        <f>SUM(G2:G29)</f>
        <v>3103.826999</v>
      </c>
      <c r="I30" s="30">
        <f t="shared" ref="I30:J30" si="11">SUM(I2:I27)</f>
        <v>2500</v>
      </c>
      <c r="J30" s="30">
        <f t="shared" si="11"/>
        <v>633.52</v>
      </c>
      <c r="K30" s="30"/>
      <c r="L30" s="30">
        <f>SUM(L2:L29)</f>
        <v>2549.113143</v>
      </c>
      <c r="M30" s="60">
        <f>ROUND(SUM(M2:M29),2)</f>
        <v>554.71</v>
      </c>
      <c r="N30" s="30">
        <f>SUM(N2:N27)</f>
        <v>0</v>
      </c>
      <c r="O30" s="30"/>
      <c r="R30" s="30">
        <f t="shared" ref="R30:S30" si="12">SUM(R2:R27)</f>
        <v>0</v>
      </c>
      <c r="S30" s="30">
        <f t="shared" si="12"/>
        <v>0</v>
      </c>
    </row>
    <row r="31" ht="15.75" customHeight="1">
      <c r="G31" s="44"/>
    </row>
    <row r="32" ht="15.75" customHeight="1">
      <c r="G32" s="44"/>
    </row>
    <row r="33" ht="15.75" customHeight="1">
      <c r="G33" s="44"/>
    </row>
    <row r="34" ht="15.75" customHeight="1">
      <c r="G34" s="44"/>
    </row>
    <row r="35" ht="15.75" customHeight="1">
      <c r="G35" s="44"/>
    </row>
    <row r="36" ht="15.75" customHeight="1">
      <c r="G36" s="44"/>
    </row>
    <row r="37" ht="15.75" customHeight="1">
      <c r="G37" s="44"/>
    </row>
    <row r="38" ht="15.75" customHeight="1">
      <c r="G38" s="44"/>
    </row>
    <row r="39" ht="15.75" customHeight="1">
      <c r="G39" s="44"/>
    </row>
    <row r="40" ht="15.75" customHeight="1">
      <c r="G40" s="44"/>
    </row>
    <row r="41" ht="15.75" customHeight="1">
      <c r="G41" s="44"/>
    </row>
    <row r="42" ht="15.75" customHeight="1">
      <c r="G42" s="44"/>
    </row>
    <row r="43" ht="15.75" customHeight="1">
      <c r="G43" s="44"/>
    </row>
    <row r="44" ht="15.75" customHeight="1">
      <c r="G44" s="44"/>
    </row>
    <row r="45" ht="15.75" customHeight="1">
      <c r="G45" s="44"/>
    </row>
    <row r="46" ht="15.75" customHeight="1">
      <c r="G46" s="44"/>
    </row>
    <row r="47" ht="15.75" customHeight="1">
      <c r="G47" s="44"/>
    </row>
    <row r="48" ht="15.75" customHeight="1">
      <c r="G48" s="44"/>
    </row>
    <row r="49" ht="15.75" customHeight="1">
      <c r="G49" s="44"/>
    </row>
    <row r="50" ht="15.75" customHeight="1">
      <c r="G50" s="44"/>
    </row>
    <row r="51" ht="15.75" customHeight="1">
      <c r="G51" s="44"/>
    </row>
    <row r="52" ht="15.75" customHeight="1">
      <c r="G52" s="44"/>
    </row>
    <row r="53" ht="15.75" customHeight="1">
      <c r="G53" s="44"/>
    </row>
    <row r="54" ht="15.75" customHeight="1">
      <c r="G54" s="44"/>
    </row>
    <row r="55" ht="15.75" customHeight="1">
      <c r="G55" s="44"/>
    </row>
    <row r="56" ht="15.75" customHeight="1">
      <c r="G56" s="44"/>
    </row>
    <row r="57" ht="15.75" customHeight="1">
      <c r="G57" s="44"/>
    </row>
    <row r="58" ht="15.75" customHeight="1">
      <c r="G58" s="44"/>
    </row>
    <row r="59" ht="15.75" customHeight="1">
      <c r="G59" s="44"/>
    </row>
    <row r="60" ht="15.75" customHeight="1">
      <c r="G60" s="44"/>
    </row>
    <row r="61" ht="15.75" customHeight="1">
      <c r="G61" s="44"/>
    </row>
    <row r="62" ht="15.75" customHeight="1">
      <c r="G62" s="44"/>
    </row>
    <row r="63" ht="15.75" customHeight="1">
      <c r="G63" s="44"/>
    </row>
    <row r="64" ht="15.75" customHeight="1">
      <c r="G64" s="44"/>
    </row>
    <row r="65" ht="15.75" customHeight="1">
      <c r="G65" s="44"/>
    </row>
    <row r="66" ht="15.75" customHeight="1">
      <c r="G66" s="44"/>
    </row>
    <row r="67" ht="15.75" customHeight="1">
      <c r="G67" s="44"/>
    </row>
    <row r="68" ht="15.75" customHeight="1">
      <c r="G68" s="44"/>
    </row>
    <row r="69" ht="15.75" customHeight="1">
      <c r="G69" s="44"/>
    </row>
    <row r="70" ht="15.75" customHeight="1">
      <c r="G70" s="44"/>
    </row>
    <row r="71" ht="15.75" customHeight="1">
      <c r="G71" s="44"/>
    </row>
    <row r="72" ht="15.75" customHeight="1">
      <c r="G72" s="44"/>
    </row>
    <row r="73" ht="15.75" customHeight="1">
      <c r="G73" s="44"/>
    </row>
    <row r="74" ht="15.75" customHeight="1">
      <c r="G74" s="44"/>
    </row>
    <row r="75" ht="15.75" customHeight="1">
      <c r="G75" s="44"/>
    </row>
    <row r="76" ht="15.75" customHeight="1">
      <c r="G76" s="44"/>
    </row>
    <row r="77" ht="15.75" customHeight="1">
      <c r="G77" s="44"/>
    </row>
    <row r="78" ht="15.75" customHeight="1">
      <c r="G78" s="44"/>
    </row>
    <row r="79" ht="15.75" customHeight="1">
      <c r="G79" s="44"/>
    </row>
    <row r="80" ht="15.75" customHeight="1">
      <c r="G80" s="44"/>
    </row>
    <row r="81" ht="15.75" customHeight="1">
      <c r="G81" s="44"/>
    </row>
    <row r="82" ht="15.75" customHeight="1">
      <c r="G82" s="44"/>
    </row>
    <row r="83" ht="15.75" customHeight="1">
      <c r="G83" s="44"/>
    </row>
    <row r="84" ht="15.75" customHeight="1">
      <c r="G84" s="44"/>
    </row>
    <row r="85" ht="15.75" customHeight="1">
      <c r="G85" s="44"/>
    </row>
    <row r="86" ht="15.75" customHeight="1">
      <c r="G86" s="44"/>
    </row>
    <row r="87" ht="15.75" customHeight="1">
      <c r="G87" s="44"/>
    </row>
    <row r="88" ht="15.75" customHeight="1">
      <c r="G88" s="44"/>
    </row>
    <row r="89" ht="15.75" customHeight="1">
      <c r="G89" s="44"/>
    </row>
    <row r="90" ht="15.75" customHeight="1">
      <c r="G90" s="44"/>
    </row>
    <row r="91" ht="15.75" customHeight="1">
      <c r="G91" s="44"/>
    </row>
    <row r="92" ht="15.75" customHeight="1">
      <c r="G92" s="44"/>
    </row>
    <row r="93" ht="15.75" customHeight="1">
      <c r="G93" s="44"/>
    </row>
    <row r="94" ht="15.75" customHeight="1">
      <c r="G94" s="44"/>
    </row>
    <row r="95" ht="15.75" customHeight="1">
      <c r="G95" s="44"/>
    </row>
    <row r="96" ht="15.75" customHeight="1">
      <c r="G96" s="44"/>
    </row>
    <row r="97" ht="15.75" customHeight="1">
      <c r="G97" s="44"/>
    </row>
    <row r="98" ht="15.75" customHeight="1">
      <c r="G98" s="44"/>
    </row>
    <row r="99" ht="15.75" customHeight="1">
      <c r="G99" s="44"/>
    </row>
    <row r="100" ht="15.75" customHeight="1">
      <c r="G100" s="44"/>
    </row>
    <row r="101" ht="15.75" customHeight="1">
      <c r="G101" s="44"/>
    </row>
    <row r="102" ht="15.75" customHeight="1">
      <c r="G102" s="44"/>
    </row>
    <row r="103" ht="15.75" customHeight="1">
      <c r="G103" s="44"/>
    </row>
    <row r="104" ht="15.75" customHeight="1">
      <c r="G104" s="44"/>
    </row>
    <row r="105" ht="15.75" customHeight="1">
      <c r="G105" s="44"/>
    </row>
    <row r="106" ht="15.75" customHeight="1">
      <c r="G106" s="44"/>
    </row>
    <row r="107" ht="15.75" customHeight="1">
      <c r="G107" s="44"/>
    </row>
    <row r="108" ht="15.75" customHeight="1">
      <c r="G108" s="44"/>
    </row>
    <row r="109" ht="15.75" customHeight="1">
      <c r="G109" s="44"/>
    </row>
    <row r="110" ht="15.75" customHeight="1">
      <c r="G110" s="44"/>
    </row>
    <row r="111" ht="15.75" customHeight="1">
      <c r="G111" s="44"/>
    </row>
    <row r="112" ht="15.75" customHeight="1">
      <c r="G112" s="44"/>
    </row>
    <row r="113" ht="15.75" customHeight="1">
      <c r="G113" s="44"/>
    </row>
    <row r="114" ht="15.75" customHeight="1">
      <c r="G114" s="44"/>
    </row>
    <row r="115" ht="15.75" customHeight="1">
      <c r="G115" s="44"/>
    </row>
    <row r="116" ht="15.75" customHeight="1">
      <c r="G116" s="44"/>
    </row>
    <row r="117" ht="15.75" customHeight="1">
      <c r="G117" s="44"/>
    </row>
    <row r="118" ht="15.75" customHeight="1">
      <c r="G118" s="44"/>
    </row>
    <row r="119" ht="15.75" customHeight="1">
      <c r="G119" s="44"/>
    </row>
    <row r="120" ht="15.75" customHeight="1">
      <c r="G120" s="44"/>
    </row>
    <row r="121" ht="15.75" customHeight="1">
      <c r="G121" s="44"/>
    </row>
    <row r="122" ht="15.75" customHeight="1">
      <c r="G122" s="44"/>
    </row>
    <row r="123" ht="15.75" customHeight="1">
      <c r="G123" s="44"/>
    </row>
    <row r="124" ht="15.75" customHeight="1">
      <c r="G124" s="44"/>
    </row>
    <row r="125" ht="15.75" customHeight="1">
      <c r="G125" s="44"/>
    </row>
    <row r="126" ht="15.75" customHeight="1">
      <c r="G126" s="44"/>
    </row>
    <row r="127" ht="15.75" customHeight="1">
      <c r="G127" s="44"/>
    </row>
    <row r="128" ht="15.75" customHeight="1">
      <c r="G128" s="44"/>
    </row>
    <row r="129" ht="15.75" customHeight="1">
      <c r="G129" s="44"/>
    </row>
    <row r="130" ht="15.75" customHeight="1">
      <c r="G130" s="44"/>
    </row>
    <row r="131" ht="15.75" customHeight="1">
      <c r="G131" s="44"/>
    </row>
    <row r="132" ht="15.75" customHeight="1">
      <c r="G132" s="44"/>
    </row>
    <row r="133" ht="15.75" customHeight="1">
      <c r="G133" s="44"/>
    </row>
    <row r="134" ht="15.75" customHeight="1">
      <c r="G134" s="44"/>
    </row>
    <row r="135" ht="15.75" customHeight="1">
      <c r="G135" s="44"/>
    </row>
    <row r="136" ht="15.75" customHeight="1">
      <c r="G136" s="44"/>
    </row>
    <row r="137" ht="15.75" customHeight="1">
      <c r="G137" s="44"/>
    </row>
    <row r="138" ht="15.75" customHeight="1">
      <c r="G138" s="44"/>
    </row>
    <row r="139" ht="15.75" customHeight="1">
      <c r="G139" s="44"/>
    </row>
    <row r="140" ht="15.75" customHeight="1">
      <c r="G140" s="44"/>
    </row>
    <row r="141" ht="15.75" customHeight="1">
      <c r="G141" s="44"/>
    </row>
    <row r="142" ht="15.75" customHeight="1">
      <c r="G142" s="44"/>
    </row>
    <row r="143" ht="15.75" customHeight="1">
      <c r="G143" s="44"/>
    </row>
    <row r="144" ht="15.75" customHeight="1">
      <c r="G144" s="44"/>
    </row>
    <row r="145" ht="15.75" customHeight="1">
      <c r="G145" s="44"/>
    </row>
    <row r="146" ht="15.75" customHeight="1">
      <c r="G146" s="44"/>
    </row>
    <row r="147" ht="15.75" customHeight="1">
      <c r="G147" s="44"/>
    </row>
    <row r="148" ht="15.75" customHeight="1">
      <c r="G148" s="44"/>
    </row>
    <row r="149" ht="15.75" customHeight="1">
      <c r="G149" s="44"/>
    </row>
    <row r="150" ht="15.75" customHeight="1">
      <c r="G150" s="44"/>
    </row>
    <row r="151" ht="15.75" customHeight="1">
      <c r="G151" s="44"/>
    </row>
    <row r="152" ht="15.75" customHeight="1">
      <c r="G152" s="44"/>
    </row>
    <row r="153" ht="15.75" customHeight="1">
      <c r="G153" s="44"/>
    </row>
    <row r="154" ht="15.75" customHeight="1">
      <c r="G154" s="44"/>
    </row>
    <row r="155" ht="15.75" customHeight="1">
      <c r="G155" s="44"/>
    </row>
    <row r="156" ht="15.75" customHeight="1">
      <c r="G156" s="44"/>
    </row>
    <row r="157" ht="15.75" customHeight="1">
      <c r="G157" s="44"/>
    </row>
    <row r="158" ht="15.75" customHeight="1">
      <c r="G158" s="44"/>
    </row>
    <row r="159" ht="15.75" customHeight="1">
      <c r="G159" s="44"/>
    </row>
    <row r="160" ht="15.75" customHeight="1">
      <c r="G160" s="44"/>
    </row>
    <row r="161" ht="15.75" customHeight="1">
      <c r="G161" s="44"/>
    </row>
    <row r="162" ht="15.75" customHeight="1">
      <c r="G162" s="44"/>
    </row>
    <row r="163" ht="15.75" customHeight="1">
      <c r="G163" s="44"/>
    </row>
    <row r="164" ht="15.75" customHeight="1">
      <c r="G164" s="44"/>
    </row>
    <row r="165" ht="15.75" customHeight="1">
      <c r="G165" s="44"/>
    </row>
    <row r="166" ht="15.75" customHeight="1">
      <c r="G166" s="44"/>
    </row>
    <row r="167" ht="15.75" customHeight="1">
      <c r="G167" s="44"/>
    </row>
    <row r="168" ht="15.75" customHeight="1">
      <c r="G168" s="44"/>
    </row>
    <row r="169" ht="15.75" customHeight="1">
      <c r="G169" s="44"/>
    </row>
    <row r="170" ht="15.75" customHeight="1">
      <c r="G170" s="44"/>
    </row>
    <row r="171" ht="15.75" customHeight="1">
      <c r="G171" s="44"/>
    </row>
    <row r="172" ht="15.75" customHeight="1">
      <c r="G172" s="44"/>
    </row>
    <row r="173" ht="15.75" customHeight="1">
      <c r="G173" s="44"/>
    </row>
    <row r="174" ht="15.75" customHeight="1">
      <c r="G174" s="44"/>
    </row>
    <row r="175" ht="15.75" customHeight="1">
      <c r="G175" s="44"/>
    </row>
    <row r="176" ht="15.75" customHeight="1">
      <c r="G176" s="44"/>
    </row>
    <row r="177" ht="15.75" customHeight="1">
      <c r="G177" s="44"/>
    </row>
    <row r="178" ht="15.75" customHeight="1">
      <c r="G178" s="44"/>
    </row>
    <row r="179" ht="15.75" customHeight="1">
      <c r="G179" s="44"/>
    </row>
    <row r="180" ht="15.75" customHeight="1">
      <c r="G180" s="44"/>
    </row>
    <row r="181" ht="15.75" customHeight="1">
      <c r="G181" s="44"/>
    </row>
    <row r="182" ht="15.75" customHeight="1">
      <c r="G182" s="44"/>
    </row>
    <row r="183" ht="15.75" customHeight="1">
      <c r="G183" s="44"/>
    </row>
    <row r="184" ht="15.75" customHeight="1">
      <c r="G184" s="44"/>
    </row>
    <row r="185" ht="15.75" customHeight="1">
      <c r="G185" s="44"/>
    </row>
    <row r="186" ht="15.75" customHeight="1">
      <c r="G186" s="44"/>
    </row>
    <row r="187" ht="15.75" customHeight="1">
      <c r="G187" s="44"/>
    </row>
    <row r="188" ht="15.75" customHeight="1">
      <c r="G188" s="44"/>
    </row>
    <row r="189" ht="15.75" customHeight="1">
      <c r="G189" s="44"/>
    </row>
    <row r="190" ht="15.75" customHeight="1">
      <c r="G190" s="44"/>
    </row>
    <row r="191" ht="15.75" customHeight="1">
      <c r="G191" s="44"/>
    </row>
    <row r="192" ht="15.75" customHeight="1">
      <c r="G192" s="44"/>
    </row>
    <row r="193" ht="15.75" customHeight="1">
      <c r="G193" s="44"/>
    </row>
    <row r="194" ht="15.75" customHeight="1">
      <c r="G194" s="44"/>
    </row>
    <row r="195" ht="15.75" customHeight="1">
      <c r="G195" s="44"/>
    </row>
    <row r="196" ht="15.75" customHeight="1">
      <c r="G196" s="44"/>
    </row>
    <row r="197" ht="15.75" customHeight="1">
      <c r="G197" s="44"/>
    </row>
    <row r="198" ht="15.75" customHeight="1">
      <c r="G198" s="44"/>
    </row>
    <row r="199" ht="15.75" customHeight="1">
      <c r="G199" s="44"/>
    </row>
    <row r="200" ht="15.75" customHeight="1">
      <c r="G200" s="44"/>
    </row>
    <row r="201" ht="15.75" customHeight="1">
      <c r="G201" s="44"/>
    </row>
    <row r="202" ht="15.75" customHeight="1">
      <c r="G202" s="44"/>
    </row>
    <row r="203" ht="15.75" customHeight="1">
      <c r="G203" s="44"/>
    </row>
    <row r="204" ht="15.75" customHeight="1">
      <c r="G204" s="44"/>
    </row>
    <row r="205" ht="15.75" customHeight="1">
      <c r="G205" s="44"/>
    </row>
    <row r="206" ht="15.75" customHeight="1">
      <c r="G206" s="44"/>
    </row>
    <row r="207" ht="15.75" customHeight="1">
      <c r="G207" s="44"/>
    </row>
    <row r="208" ht="15.75" customHeight="1">
      <c r="G208" s="44"/>
    </row>
    <row r="209" ht="15.75" customHeight="1">
      <c r="G209" s="44"/>
    </row>
    <row r="210" ht="15.75" customHeight="1">
      <c r="G210" s="44"/>
    </row>
    <row r="211" ht="15.75" customHeight="1">
      <c r="G211" s="44"/>
    </row>
    <row r="212" ht="15.75" customHeight="1">
      <c r="G212" s="44"/>
    </row>
    <row r="213" ht="15.75" customHeight="1">
      <c r="G213" s="44"/>
    </row>
    <row r="214" ht="15.75" customHeight="1">
      <c r="G214" s="44"/>
    </row>
    <row r="215" ht="15.75" customHeight="1">
      <c r="G215" s="44"/>
    </row>
    <row r="216" ht="15.75" customHeight="1">
      <c r="G216" s="44"/>
    </row>
    <row r="217" ht="15.75" customHeight="1">
      <c r="G217" s="44"/>
    </row>
    <row r="218" ht="15.75" customHeight="1">
      <c r="G218" s="44"/>
    </row>
    <row r="219" ht="15.75" customHeight="1">
      <c r="G219" s="44"/>
    </row>
    <row r="220" ht="15.75" customHeight="1">
      <c r="G220" s="44"/>
    </row>
    <row r="221" ht="15.75" customHeight="1">
      <c r="G221" s="44"/>
    </row>
    <row r="222" ht="15.75" customHeight="1">
      <c r="G222" s="44"/>
    </row>
    <row r="223" ht="15.75" customHeight="1">
      <c r="G223" s="44"/>
    </row>
    <row r="224" ht="15.75" customHeight="1">
      <c r="G224" s="44"/>
    </row>
    <row r="225" ht="15.75" customHeight="1">
      <c r="G225" s="44"/>
    </row>
    <row r="226" ht="15.75" customHeight="1">
      <c r="G226" s="44"/>
    </row>
    <row r="227" ht="15.75" customHeight="1">
      <c r="G227" s="44"/>
    </row>
    <row r="228" ht="15.75" customHeight="1">
      <c r="G228" s="44"/>
    </row>
    <row r="229" ht="15.75" customHeight="1">
      <c r="G229" s="44"/>
    </row>
    <row r="230" ht="15.75" customHeight="1">
      <c r="G230" s="44"/>
    </row>
    <row r="231" ht="15.75" customHeight="1">
      <c r="G231" s="44"/>
    </row>
    <row r="232" ht="15.75" customHeight="1">
      <c r="G232" s="44"/>
    </row>
    <row r="233" ht="15.75" customHeight="1">
      <c r="G233" s="44"/>
    </row>
    <row r="234" ht="15.75" customHeight="1">
      <c r="G234" s="44"/>
    </row>
    <row r="235" ht="15.75" customHeight="1">
      <c r="G235" s="44"/>
    </row>
    <row r="236" ht="15.75" customHeight="1">
      <c r="G236" s="44"/>
    </row>
    <row r="237" ht="15.75" customHeight="1">
      <c r="G237" s="44"/>
    </row>
    <row r="238" ht="15.75" customHeight="1">
      <c r="G238" s="44"/>
    </row>
    <row r="239" ht="15.75" customHeight="1">
      <c r="G239" s="44"/>
    </row>
    <row r="240" ht="15.75" customHeight="1">
      <c r="G240" s="44"/>
    </row>
    <row r="241" ht="15.75" customHeight="1">
      <c r="G241" s="44"/>
    </row>
    <row r="242" ht="15.75" customHeight="1">
      <c r="G242" s="44"/>
    </row>
    <row r="243" ht="15.75" customHeight="1">
      <c r="G243" s="44"/>
    </row>
    <row r="244" ht="15.75" customHeight="1">
      <c r="G244" s="44"/>
    </row>
    <row r="245" ht="15.75" customHeight="1">
      <c r="G245" s="44"/>
    </row>
    <row r="246" ht="15.75" customHeight="1">
      <c r="G246" s="44"/>
    </row>
    <row r="247" ht="15.75" customHeight="1">
      <c r="G247" s="44"/>
    </row>
    <row r="248" ht="15.75" customHeight="1">
      <c r="G248" s="44"/>
    </row>
    <row r="249" ht="15.75" customHeight="1">
      <c r="G249" s="44"/>
    </row>
    <row r="250" ht="15.75" customHeight="1">
      <c r="G250" s="44"/>
    </row>
    <row r="251" ht="15.75" customHeight="1">
      <c r="G251" s="44"/>
    </row>
    <row r="252" ht="15.75" customHeight="1">
      <c r="G252" s="44"/>
    </row>
    <row r="253" ht="15.75" customHeight="1">
      <c r="G253" s="44"/>
    </row>
    <row r="254" ht="15.75" customHeight="1">
      <c r="G254" s="44"/>
    </row>
    <row r="255" ht="15.75" customHeight="1">
      <c r="G255" s="44"/>
    </row>
    <row r="256" ht="15.75" customHeight="1">
      <c r="G256" s="44"/>
    </row>
    <row r="257" ht="15.75" customHeight="1">
      <c r="G257" s="44"/>
    </row>
    <row r="258" ht="15.75" customHeight="1">
      <c r="G258" s="44"/>
    </row>
    <row r="259" ht="15.75" customHeight="1">
      <c r="G259" s="44"/>
    </row>
    <row r="260" ht="15.75" customHeight="1">
      <c r="G260" s="44"/>
    </row>
    <row r="261" ht="15.75" customHeight="1">
      <c r="G261" s="44"/>
    </row>
    <row r="262" ht="15.75" customHeight="1">
      <c r="G262" s="44"/>
    </row>
    <row r="263" ht="15.75" customHeight="1">
      <c r="G263" s="44"/>
    </row>
    <row r="264" ht="15.75" customHeight="1">
      <c r="G264" s="44"/>
    </row>
    <row r="265" ht="15.75" customHeight="1">
      <c r="G265" s="44"/>
    </row>
    <row r="266" ht="15.75" customHeight="1">
      <c r="G266" s="44"/>
    </row>
    <row r="267" ht="15.75" customHeight="1">
      <c r="G267" s="44"/>
    </row>
    <row r="268" ht="15.75" customHeight="1">
      <c r="G268" s="44"/>
    </row>
    <row r="269" ht="15.75" customHeight="1">
      <c r="G269" s="44"/>
    </row>
    <row r="270" ht="15.75" customHeight="1">
      <c r="G270" s="44"/>
    </row>
    <row r="271" ht="15.75" customHeight="1">
      <c r="G271" s="44"/>
    </row>
    <row r="272" ht="15.75" customHeight="1">
      <c r="G272" s="44"/>
    </row>
    <row r="273" ht="15.75" customHeight="1">
      <c r="G273" s="44"/>
    </row>
    <row r="274" ht="15.75" customHeight="1">
      <c r="G274" s="44"/>
    </row>
    <row r="275" ht="15.75" customHeight="1">
      <c r="G275" s="44"/>
    </row>
    <row r="276" ht="15.75" customHeight="1">
      <c r="G276" s="44"/>
    </row>
    <row r="277" ht="15.75" customHeight="1">
      <c r="G277" s="44"/>
    </row>
    <row r="278" ht="15.75" customHeight="1">
      <c r="G278" s="44"/>
    </row>
    <row r="279" ht="15.75" customHeight="1">
      <c r="G279" s="44"/>
    </row>
    <row r="280" ht="15.75" customHeight="1">
      <c r="G280" s="44"/>
    </row>
    <row r="281" ht="15.75" customHeight="1">
      <c r="G281" s="44"/>
    </row>
    <row r="282" ht="15.75" customHeight="1">
      <c r="G282" s="44"/>
    </row>
    <row r="283" ht="15.75" customHeight="1">
      <c r="G283" s="44"/>
    </row>
    <row r="284" ht="15.75" customHeight="1">
      <c r="G284" s="44"/>
    </row>
    <row r="285" ht="15.75" customHeight="1">
      <c r="G285" s="44"/>
    </row>
    <row r="286" ht="15.75" customHeight="1">
      <c r="G286" s="44"/>
    </row>
    <row r="287" ht="15.75" customHeight="1">
      <c r="G287" s="44"/>
    </row>
    <row r="288" ht="15.75" customHeight="1">
      <c r="G288" s="44"/>
    </row>
    <row r="289" ht="15.75" customHeight="1">
      <c r="G289" s="44"/>
    </row>
    <row r="290" ht="15.75" customHeight="1">
      <c r="G290" s="44"/>
    </row>
    <row r="291" ht="15.75" customHeight="1">
      <c r="G291" s="44"/>
    </row>
    <row r="292" ht="15.75" customHeight="1">
      <c r="G292" s="44"/>
    </row>
    <row r="293" ht="15.75" customHeight="1">
      <c r="G293" s="44"/>
    </row>
    <row r="294" ht="15.75" customHeight="1">
      <c r="G294" s="44"/>
    </row>
    <row r="295" ht="15.75" customHeight="1">
      <c r="G295" s="44"/>
    </row>
    <row r="296" ht="15.75" customHeight="1">
      <c r="G296" s="44"/>
    </row>
    <row r="297" ht="15.75" customHeight="1">
      <c r="G297" s="44"/>
    </row>
    <row r="298" ht="15.75" customHeight="1">
      <c r="G298" s="44"/>
    </row>
    <row r="299" ht="15.75" customHeight="1">
      <c r="G299" s="44"/>
    </row>
    <row r="300" ht="15.75" customHeight="1">
      <c r="G300" s="44"/>
    </row>
    <row r="301" ht="15.75" customHeight="1">
      <c r="G301" s="44"/>
    </row>
    <row r="302" ht="15.75" customHeight="1">
      <c r="G302" s="44"/>
    </row>
    <row r="303" ht="15.75" customHeight="1">
      <c r="G303" s="44"/>
    </row>
    <row r="304" ht="15.75" customHeight="1">
      <c r="G304" s="44"/>
    </row>
    <row r="305" ht="15.75" customHeight="1">
      <c r="G305" s="44"/>
    </row>
    <row r="306" ht="15.75" customHeight="1">
      <c r="G306" s="44"/>
    </row>
    <row r="307" ht="15.75" customHeight="1">
      <c r="G307" s="44"/>
    </row>
    <row r="308" ht="15.75" customHeight="1">
      <c r="G308" s="44"/>
    </row>
    <row r="309" ht="15.75" customHeight="1">
      <c r="G309" s="44"/>
    </row>
    <row r="310" ht="15.75" customHeight="1">
      <c r="G310" s="44"/>
    </row>
    <row r="311" ht="15.75" customHeight="1">
      <c r="G311" s="44"/>
    </row>
    <row r="312" ht="15.75" customHeight="1">
      <c r="G312" s="44"/>
    </row>
    <row r="313" ht="15.75" customHeight="1">
      <c r="G313" s="44"/>
    </row>
    <row r="314" ht="15.75" customHeight="1">
      <c r="G314" s="44"/>
    </row>
    <row r="315" ht="15.75" customHeight="1">
      <c r="G315" s="44"/>
    </row>
    <row r="316" ht="15.75" customHeight="1">
      <c r="G316" s="44"/>
    </row>
    <row r="317" ht="15.75" customHeight="1">
      <c r="G317" s="44"/>
    </row>
    <row r="318" ht="15.75" customHeight="1">
      <c r="G318" s="44"/>
    </row>
    <row r="319" ht="15.75" customHeight="1">
      <c r="G319" s="44"/>
    </row>
    <row r="320" ht="15.75" customHeight="1">
      <c r="G320" s="44"/>
    </row>
    <row r="321" ht="15.75" customHeight="1">
      <c r="G321" s="44"/>
    </row>
    <row r="322" ht="15.75" customHeight="1">
      <c r="G322" s="44"/>
    </row>
    <row r="323" ht="15.75" customHeight="1">
      <c r="G323" s="44"/>
    </row>
    <row r="324" ht="15.75" customHeight="1">
      <c r="G324" s="44"/>
    </row>
    <row r="325" ht="15.75" customHeight="1">
      <c r="G325" s="44"/>
    </row>
    <row r="326" ht="15.75" customHeight="1">
      <c r="G326" s="44"/>
    </row>
    <row r="327" ht="15.75" customHeight="1">
      <c r="G327" s="44"/>
    </row>
    <row r="328" ht="15.75" customHeight="1">
      <c r="G328" s="44"/>
    </row>
    <row r="329" ht="15.75" customHeight="1">
      <c r="G329" s="44"/>
    </row>
    <row r="330" ht="15.75" customHeight="1">
      <c r="G330" s="44"/>
    </row>
    <row r="331" ht="15.75" customHeight="1">
      <c r="G331" s="44"/>
    </row>
    <row r="332" ht="15.75" customHeight="1">
      <c r="G332" s="44"/>
    </row>
    <row r="333" ht="15.75" customHeight="1">
      <c r="G333" s="44"/>
    </row>
    <row r="334" ht="15.75" customHeight="1">
      <c r="G334" s="44"/>
    </row>
    <row r="335" ht="15.75" customHeight="1">
      <c r="G335" s="44"/>
    </row>
    <row r="336" ht="15.75" customHeight="1">
      <c r="G336" s="44"/>
    </row>
    <row r="337" ht="15.75" customHeight="1">
      <c r="G337" s="44"/>
    </row>
    <row r="338" ht="15.75" customHeight="1">
      <c r="G338" s="44"/>
    </row>
    <row r="339" ht="15.75" customHeight="1">
      <c r="G339" s="44"/>
    </row>
    <row r="340" ht="15.75" customHeight="1">
      <c r="G340" s="44"/>
    </row>
    <row r="341" ht="15.75" customHeight="1">
      <c r="G341" s="44"/>
    </row>
    <row r="342" ht="15.75" customHeight="1">
      <c r="G342" s="44"/>
    </row>
    <row r="343" ht="15.75" customHeight="1">
      <c r="G343" s="44"/>
    </row>
    <row r="344" ht="15.75" customHeight="1">
      <c r="G344" s="44"/>
    </row>
    <row r="345" ht="15.75" customHeight="1">
      <c r="G345" s="44"/>
    </row>
    <row r="346" ht="15.75" customHeight="1">
      <c r="G346" s="44"/>
    </row>
    <row r="347" ht="15.75" customHeight="1">
      <c r="G347" s="44"/>
    </row>
    <row r="348" ht="15.75" customHeight="1">
      <c r="G348" s="44"/>
    </row>
    <row r="349" ht="15.75" customHeight="1">
      <c r="G349" s="44"/>
    </row>
    <row r="350" ht="15.75" customHeight="1">
      <c r="G350" s="44"/>
    </row>
    <row r="351" ht="15.75" customHeight="1">
      <c r="G351" s="44"/>
    </row>
    <row r="352" ht="15.75" customHeight="1">
      <c r="G352" s="44"/>
    </row>
    <row r="353" ht="15.75" customHeight="1">
      <c r="G353" s="44"/>
    </row>
    <row r="354" ht="15.75" customHeight="1">
      <c r="G354" s="44"/>
    </row>
    <row r="355" ht="15.75" customHeight="1">
      <c r="G355" s="44"/>
    </row>
    <row r="356" ht="15.75" customHeight="1">
      <c r="G356" s="44"/>
    </row>
    <row r="357" ht="15.75" customHeight="1">
      <c r="G357" s="44"/>
    </row>
    <row r="358" ht="15.75" customHeight="1">
      <c r="G358" s="44"/>
    </row>
    <row r="359" ht="15.75" customHeight="1">
      <c r="G359" s="44"/>
    </row>
    <row r="360" ht="15.75" customHeight="1">
      <c r="G360" s="44"/>
    </row>
    <row r="361" ht="15.75" customHeight="1">
      <c r="G361" s="44"/>
    </row>
    <row r="362" ht="15.75" customHeight="1">
      <c r="G362" s="44"/>
    </row>
    <row r="363" ht="15.75" customHeight="1">
      <c r="G363" s="44"/>
    </row>
    <row r="364" ht="15.75" customHeight="1">
      <c r="G364" s="44"/>
    </row>
    <row r="365" ht="15.75" customHeight="1">
      <c r="G365" s="44"/>
    </row>
    <row r="366" ht="15.75" customHeight="1">
      <c r="G366" s="44"/>
    </row>
    <row r="367" ht="15.75" customHeight="1">
      <c r="G367" s="44"/>
    </row>
    <row r="368" ht="15.75" customHeight="1">
      <c r="G368" s="44"/>
    </row>
    <row r="369" ht="15.75" customHeight="1">
      <c r="G369" s="44"/>
    </row>
    <row r="370" ht="15.75" customHeight="1">
      <c r="G370" s="44"/>
    </row>
    <row r="371" ht="15.75" customHeight="1">
      <c r="G371" s="44"/>
    </row>
    <row r="372" ht="15.75" customHeight="1">
      <c r="G372" s="44"/>
    </row>
    <row r="373" ht="15.75" customHeight="1">
      <c r="G373" s="44"/>
    </row>
    <row r="374" ht="15.75" customHeight="1">
      <c r="G374" s="44"/>
    </row>
    <row r="375" ht="15.75" customHeight="1">
      <c r="G375" s="44"/>
    </row>
    <row r="376" ht="15.75" customHeight="1">
      <c r="G376" s="44"/>
    </row>
    <row r="377" ht="15.75" customHeight="1">
      <c r="G377" s="44"/>
    </row>
    <row r="378" ht="15.75" customHeight="1">
      <c r="G378" s="44"/>
    </row>
    <row r="379" ht="15.75" customHeight="1">
      <c r="G379" s="44"/>
    </row>
    <row r="380" ht="15.75" customHeight="1">
      <c r="G380" s="44"/>
    </row>
    <row r="381" ht="15.75" customHeight="1">
      <c r="G381" s="44"/>
    </row>
    <row r="382" ht="15.75" customHeight="1">
      <c r="G382" s="44"/>
    </row>
    <row r="383" ht="15.75" customHeight="1">
      <c r="G383" s="44"/>
    </row>
    <row r="384" ht="15.75" customHeight="1">
      <c r="G384" s="44"/>
    </row>
    <row r="385" ht="15.75" customHeight="1">
      <c r="G385" s="44"/>
    </row>
    <row r="386" ht="15.75" customHeight="1">
      <c r="G386" s="44"/>
    </row>
    <row r="387" ht="15.75" customHeight="1">
      <c r="G387" s="44"/>
    </row>
    <row r="388" ht="15.75" customHeight="1">
      <c r="G388" s="44"/>
    </row>
    <row r="389" ht="15.75" customHeight="1">
      <c r="G389" s="44"/>
    </row>
    <row r="390" ht="15.75" customHeight="1">
      <c r="G390" s="44"/>
    </row>
    <row r="391" ht="15.75" customHeight="1">
      <c r="G391" s="44"/>
    </row>
    <row r="392" ht="15.75" customHeight="1">
      <c r="G392" s="44"/>
    </row>
    <row r="393" ht="15.75" customHeight="1">
      <c r="G393" s="44"/>
    </row>
    <row r="394" ht="15.75" customHeight="1">
      <c r="G394" s="44"/>
    </row>
    <row r="395" ht="15.75" customHeight="1">
      <c r="G395" s="44"/>
    </row>
    <row r="396" ht="15.75" customHeight="1">
      <c r="G396" s="44"/>
    </row>
    <row r="397" ht="15.75" customHeight="1">
      <c r="G397" s="44"/>
    </row>
    <row r="398" ht="15.75" customHeight="1">
      <c r="G398" s="44"/>
    </row>
    <row r="399" ht="15.75" customHeight="1">
      <c r="G399" s="44"/>
    </row>
    <row r="400" ht="15.75" customHeight="1">
      <c r="G400" s="44"/>
    </row>
    <row r="401" ht="15.75" customHeight="1">
      <c r="G401" s="44"/>
    </row>
    <row r="402" ht="15.75" customHeight="1">
      <c r="G402" s="44"/>
    </row>
    <row r="403" ht="15.75" customHeight="1">
      <c r="G403" s="44"/>
    </row>
    <row r="404" ht="15.75" customHeight="1">
      <c r="G404" s="44"/>
    </row>
    <row r="405" ht="15.75" customHeight="1">
      <c r="G405" s="44"/>
    </row>
    <row r="406" ht="15.75" customHeight="1">
      <c r="G406" s="44"/>
    </row>
    <row r="407" ht="15.75" customHeight="1">
      <c r="G407" s="44"/>
    </row>
    <row r="408" ht="15.75" customHeight="1">
      <c r="G408" s="44"/>
    </row>
    <row r="409" ht="15.75" customHeight="1">
      <c r="G409" s="44"/>
    </row>
    <row r="410" ht="15.75" customHeight="1">
      <c r="G410" s="44"/>
    </row>
    <row r="411" ht="15.75" customHeight="1">
      <c r="G411" s="44"/>
    </row>
    <row r="412" ht="15.75" customHeight="1">
      <c r="G412" s="44"/>
    </row>
    <row r="413" ht="15.75" customHeight="1">
      <c r="G413" s="44"/>
    </row>
    <row r="414" ht="15.75" customHeight="1">
      <c r="G414" s="44"/>
    </row>
    <row r="415" ht="15.75" customHeight="1">
      <c r="G415" s="44"/>
    </row>
    <row r="416" ht="15.75" customHeight="1">
      <c r="G416" s="44"/>
    </row>
    <row r="417" ht="15.75" customHeight="1">
      <c r="G417" s="44"/>
    </row>
    <row r="418" ht="15.75" customHeight="1">
      <c r="G418" s="44"/>
    </row>
    <row r="419" ht="15.75" customHeight="1">
      <c r="G419" s="44"/>
    </row>
    <row r="420" ht="15.75" customHeight="1">
      <c r="G420" s="44"/>
    </row>
    <row r="421" ht="15.75" customHeight="1">
      <c r="G421" s="44"/>
    </row>
    <row r="422" ht="15.75" customHeight="1">
      <c r="G422" s="44"/>
    </row>
    <row r="423" ht="15.75" customHeight="1">
      <c r="G423" s="44"/>
    </row>
    <row r="424" ht="15.75" customHeight="1">
      <c r="G424" s="44"/>
    </row>
    <row r="425" ht="15.75" customHeight="1">
      <c r="G425" s="44"/>
    </row>
    <row r="426" ht="15.75" customHeight="1">
      <c r="G426" s="44"/>
    </row>
    <row r="427" ht="15.75" customHeight="1">
      <c r="G427" s="44"/>
    </row>
    <row r="428" ht="15.75" customHeight="1">
      <c r="G428" s="44"/>
    </row>
    <row r="429" ht="15.75" customHeight="1">
      <c r="G429" s="44"/>
    </row>
    <row r="430" ht="15.75" customHeight="1">
      <c r="G430" s="44"/>
    </row>
    <row r="431" ht="15.75" customHeight="1">
      <c r="G431" s="44"/>
    </row>
    <row r="432" ht="15.75" customHeight="1">
      <c r="G432" s="44"/>
    </row>
    <row r="433" ht="15.75" customHeight="1">
      <c r="G433" s="44"/>
    </row>
    <row r="434" ht="15.75" customHeight="1">
      <c r="G434" s="44"/>
    </row>
    <row r="435" ht="15.75" customHeight="1">
      <c r="G435" s="44"/>
    </row>
    <row r="436" ht="15.75" customHeight="1">
      <c r="G436" s="44"/>
    </row>
    <row r="437" ht="15.75" customHeight="1">
      <c r="G437" s="44"/>
    </row>
    <row r="438" ht="15.75" customHeight="1">
      <c r="G438" s="44"/>
    </row>
    <row r="439" ht="15.75" customHeight="1">
      <c r="G439" s="44"/>
    </row>
    <row r="440" ht="15.75" customHeight="1">
      <c r="G440" s="44"/>
    </row>
    <row r="441" ht="15.75" customHeight="1">
      <c r="G441" s="44"/>
    </row>
    <row r="442" ht="15.75" customHeight="1">
      <c r="G442" s="44"/>
    </row>
    <row r="443" ht="15.75" customHeight="1">
      <c r="G443" s="44"/>
    </row>
    <row r="444" ht="15.75" customHeight="1">
      <c r="G444" s="44"/>
    </row>
    <row r="445" ht="15.75" customHeight="1">
      <c r="G445" s="44"/>
    </row>
    <row r="446" ht="15.75" customHeight="1">
      <c r="G446" s="44"/>
    </row>
    <row r="447" ht="15.75" customHeight="1">
      <c r="G447" s="44"/>
    </row>
    <row r="448" ht="15.75" customHeight="1">
      <c r="G448" s="44"/>
    </row>
    <row r="449" ht="15.75" customHeight="1">
      <c r="G449" s="44"/>
    </row>
    <row r="450" ht="15.75" customHeight="1">
      <c r="G450" s="44"/>
    </row>
    <row r="451" ht="15.75" customHeight="1">
      <c r="G451" s="44"/>
    </row>
    <row r="452" ht="15.75" customHeight="1">
      <c r="G452" s="44"/>
    </row>
    <row r="453" ht="15.75" customHeight="1">
      <c r="G453" s="44"/>
    </row>
    <row r="454" ht="15.75" customHeight="1">
      <c r="G454" s="44"/>
    </row>
    <row r="455" ht="15.75" customHeight="1">
      <c r="G455" s="44"/>
    </row>
    <row r="456" ht="15.75" customHeight="1">
      <c r="G456" s="44"/>
    </row>
    <row r="457" ht="15.75" customHeight="1">
      <c r="G457" s="44"/>
    </row>
    <row r="458" ht="15.75" customHeight="1">
      <c r="G458" s="44"/>
    </row>
    <row r="459" ht="15.75" customHeight="1">
      <c r="G459" s="44"/>
    </row>
    <row r="460" ht="15.75" customHeight="1">
      <c r="G460" s="44"/>
    </row>
    <row r="461" ht="15.75" customHeight="1">
      <c r="G461" s="44"/>
    </row>
    <row r="462" ht="15.75" customHeight="1">
      <c r="G462" s="44"/>
    </row>
    <row r="463" ht="15.75" customHeight="1">
      <c r="G463" s="44"/>
    </row>
    <row r="464" ht="15.75" customHeight="1">
      <c r="G464" s="44"/>
    </row>
    <row r="465" ht="15.75" customHeight="1">
      <c r="G465" s="44"/>
    </row>
    <row r="466" ht="15.75" customHeight="1">
      <c r="G466" s="44"/>
    </row>
    <row r="467" ht="15.75" customHeight="1">
      <c r="G467" s="44"/>
    </row>
    <row r="468" ht="15.75" customHeight="1">
      <c r="G468" s="44"/>
    </row>
    <row r="469" ht="15.75" customHeight="1">
      <c r="G469" s="44"/>
    </row>
    <row r="470" ht="15.75" customHeight="1">
      <c r="G470" s="44"/>
    </row>
    <row r="471" ht="15.75" customHeight="1">
      <c r="G471" s="44"/>
    </row>
    <row r="472" ht="15.75" customHeight="1">
      <c r="G472" s="44"/>
    </row>
    <row r="473" ht="15.75" customHeight="1">
      <c r="G473" s="44"/>
    </row>
    <row r="474" ht="15.75" customHeight="1">
      <c r="G474" s="44"/>
    </row>
    <row r="475" ht="15.75" customHeight="1">
      <c r="G475" s="44"/>
    </row>
    <row r="476" ht="15.75" customHeight="1">
      <c r="G476" s="44"/>
    </row>
    <row r="477" ht="15.75" customHeight="1">
      <c r="G477" s="44"/>
    </row>
    <row r="478" ht="15.75" customHeight="1">
      <c r="G478" s="44"/>
    </row>
    <row r="479" ht="15.75" customHeight="1">
      <c r="G479" s="44"/>
    </row>
    <row r="480" ht="15.75" customHeight="1">
      <c r="G480" s="44"/>
    </row>
    <row r="481" ht="15.75" customHeight="1">
      <c r="G481" s="44"/>
    </row>
    <row r="482" ht="15.75" customHeight="1">
      <c r="G482" s="44"/>
    </row>
    <row r="483" ht="15.75" customHeight="1">
      <c r="G483" s="44"/>
    </row>
    <row r="484" ht="15.75" customHeight="1">
      <c r="G484" s="44"/>
    </row>
    <row r="485" ht="15.75" customHeight="1">
      <c r="G485" s="44"/>
    </row>
    <row r="486" ht="15.75" customHeight="1">
      <c r="G486" s="44"/>
    </row>
    <row r="487" ht="15.75" customHeight="1">
      <c r="G487" s="44"/>
    </row>
    <row r="488" ht="15.75" customHeight="1">
      <c r="G488" s="44"/>
    </row>
    <row r="489" ht="15.75" customHeight="1">
      <c r="G489" s="44"/>
    </row>
    <row r="490" ht="15.75" customHeight="1">
      <c r="G490" s="44"/>
    </row>
    <row r="491" ht="15.75" customHeight="1">
      <c r="G491" s="44"/>
    </row>
    <row r="492" ht="15.75" customHeight="1">
      <c r="G492" s="44"/>
    </row>
    <row r="493" ht="15.75" customHeight="1">
      <c r="G493" s="44"/>
    </row>
    <row r="494" ht="15.75" customHeight="1">
      <c r="G494" s="44"/>
    </row>
    <row r="495" ht="15.75" customHeight="1">
      <c r="G495" s="44"/>
    </row>
    <row r="496" ht="15.75" customHeight="1">
      <c r="G496" s="44"/>
    </row>
    <row r="497" ht="15.75" customHeight="1">
      <c r="G497" s="44"/>
    </row>
    <row r="498" ht="15.75" customHeight="1">
      <c r="G498" s="44"/>
    </row>
    <row r="499" ht="15.75" customHeight="1">
      <c r="G499" s="44"/>
    </row>
    <row r="500" ht="15.75" customHeight="1">
      <c r="G500" s="44"/>
    </row>
    <row r="501" ht="15.75" customHeight="1">
      <c r="G501" s="44"/>
    </row>
    <row r="502" ht="15.75" customHeight="1">
      <c r="G502" s="44"/>
    </row>
    <row r="503" ht="15.75" customHeight="1">
      <c r="G503" s="44"/>
    </row>
    <row r="504" ht="15.75" customHeight="1">
      <c r="G504" s="44"/>
    </row>
    <row r="505" ht="15.75" customHeight="1">
      <c r="G505" s="44"/>
    </row>
    <row r="506" ht="15.75" customHeight="1">
      <c r="G506" s="44"/>
    </row>
    <row r="507" ht="15.75" customHeight="1">
      <c r="G507" s="44"/>
    </row>
    <row r="508" ht="15.75" customHeight="1">
      <c r="G508" s="44"/>
    </row>
    <row r="509" ht="15.75" customHeight="1">
      <c r="G509" s="44"/>
    </row>
    <row r="510" ht="15.75" customHeight="1">
      <c r="G510" s="44"/>
    </row>
    <row r="511" ht="15.75" customHeight="1">
      <c r="G511" s="44"/>
    </row>
    <row r="512" ht="15.75" customHeight="1">
      <c r="G512" s="44"/>
    </row>
    <row r="513" ht="15.75" customHeight="1">
      <c r="G513" s="44"/>
    </row>
    <row r="514" ht="15.75" customHeight="1">
      <c r="G514" s="44"/>
    </row>
    <row r="515" ht="15.75" customHeight="1">
      <c r="G515" s="44"/>
    </row>
    <row r="516" ht="15.75" customHeight="1">
      <c r="G516" s="44"/>
    </row>
    <row r="517" ht="15.75" customHeight="1">
      <c r="G517" s="44"/>
    </row>
    <row r="518" ht="15.75" customHeight="1">
      <c r="G518" s="44"/>
    </row>
    <row r="519" ht="15.75" customHeight="1">
      <c r="G519" s="44"/>
    </row>
    <row r="520" ht="15.75" customHeight="1">
      <c r="G520" s="44"/>
    </row>
    <row r="521" ht="15.75" customHeight="1">
      <c r="G521" s="44"/>
    </row>
    <row r="522" ht="15.75" customHeight="1">
      <c r="G522" s="44"/>
    </row>
    <row r="523" ht="15.75" customHeight="1">
      <c r="G523" s="44"/>
    </row>
    <row r="524" ht="15.75" customHeight="1">
      <c r="G524" s="44"/>
    </row>
    <row r="525" ht="15.75" customHeight="1">
      <c r="G525" s="44"/>
    </row>
    <row r="526" ht="15.75" customHeight="1">
      <c r="G526" s="44"/>
    </row>
    <row r="527" ht="15.75" customHeight="1">
      <c r="G527" s="44"/>
    </row>
    <row r="528" ht="15.75" customHeight="1">
      <c r="G528" s="44"/>
    </row>
    <row r="529" ht="15.75" customHeight="1">
      <c r="G529" s="44"/>
    </row>
    <row r="530" ht="15.75" customHeight="1">
      <c r="G530" s="44"/>
    </row>
    <row r="531" ht="15.75" customHeight="1">
      <c r="G531" s="44"/>
    </row>
    <row r="532" ht="15.75" customHeight="1">
      <c r="G532" s="44"/>
    </row>
    <row r="533" ht="15.75" customHeight="1">
      <c r="G533" s="44"/>
    </row>
    <row r="534" ht="15.75" customHeight="1">
      <c r="G534" s="44"/>
    </row>
    <row r="535" ht="15.75" customHeight="1">
      <c r="G535" s="44"/>
    </row>
    <row r="536" ht="15.75" customHeight="1">
      <c r="G536" s="44"/>
    </row>
    <row r="537" ht="15.75" customHeight="1">
      <c r="G537" s="44"/>
    </row>
    <row r="538" ht="15.75" customHeight="1">
      <c r="G538" s="44"/>
    </row>
    <row r="539" ht="15.75" customHeight="1">
      <c r="G539" s="44"/>
    </row>
    <row r="540" ht="15.75" customHeight="1">
      <c r="G540" s="44"/>
    </row>
    <row r="541" ht="15.75" customHeight="1">
      <c r="G541" s="44"/>
    </row>
    <row r="542" ht="15.75" customHeight="1">
      <c r="G542" s="44"/>
    </row>
    <row r="543" ht="15.75" customHeight="1">
      <c r="G543" s="44"/>
    </row>
    <row r="544" ht="15.75" customHeight="1">
      <c r="G544" s="44"/>
    </row>
    <row r="545" ht="15.75" customHeight="1">
      <c r="G545" s="44"/>
    </row>
    <row r="546" ht="15.75" customHeight="1">
      <c r="G546" s="44"/>
    </row>
    <row r="547" ht="15.75" customHeight="1">
      <c r="G547" s="44"/>
    </row>
    <row r="548" ht="15.75" customHeight="1">
      <c r="G548" s="44"/>
    </row>
    <row r="549" ht="15.75" customHeight="1">
      <c r="G549" s="44"/>
    </row>
    <row r="550" ht="15.75" customHeight="1">
      <c r="G550" s="44"/>
    </row>
    <row r="551" ht="15.75" customHeight="1">
      <c r="G551" s="44"/>
    </row>
    <row r="552" ht="15.75" customHeight="1">
      <c r="G552" s="44"/>
    </row>
    <row r="553" ht="15.75" customHeight="1">
      <c r="G553" s="44"/>
    </row>
    <row r="554" ht="15.75" customHeight="1">
      <c r="G554" s="44"/>
    </row>
    <row r="555" ht="15.75" customHeight="1">
      <c r="G555" s="44"/>
    </row>
    <row r="556" ht="15.75" customHeight="1">
      <c r="G556" s="44"/>
    </row>
    <row r="557" ht="15.75" customHeight="1">
      <c r="G557" s="44"/>
    </row>
    <row r="558" ht="15.75" customHeight="1">
      <c r="G558" s="44"/>
    </row>
    <row r="559" ht="15.75" customHeight="1">
      <c r="G559" s="44"/>
    </row>
    <row r="560" ht="15.75" customHeight="1">
      <c r="G560" s="44"/>
    </row>
    <row r="561" ht="15.75" customHeight="1">
      <c r="G561" s="44"/>
    </row>
    <row r="562" ht="15.75" customHeight="1">
      <c r="G562" s="44"/>
    </row>
    <row r="563" ht="15.75" customHeight="1">
      <c r="G563" s="44"/>
    </row>
    <row r="564" ht="15.75" customHeight="1">
      <c r="G564" s="44"/>
    </row>
    <row r="565" ht="15.75" customHeight="1">
      <c r="G565" s="44"/>
    </row>
    <row r="566" ht="15.75" customHeight="1">
      <c r="G566" s="44"/>
    </row>
    <row r="567" ht="15.75" customHeight="1">
      <c r="G567" s="44"/>
    </row>
    <row r="568" ht="15.75" customHeight="1">
      <c r="G568" s="44"/>
    </row>
    <row r="569" ht="15.75" customHeight="1">
      <c r="G569" s="44"/>
    </row>
    <row r="570" ht="15.75" customHeight="1">
      <c r="G570" s="44"/>
    </row>
    <row r="571" ht="15.75" customHeight="1">
      <c r="G571" s="44"/>
    </row>
    <row r="572" ht="15.75" customHeight="1">
      <c r="G572" s="44"/>
    </row>
    <row r="573" ht="15.75" customHeight="1">
      <c r="G573" s="44"/>
    </row>
    <row r="574" ht="15.75" customHeight="1">
      <c r="G574" s="44"/>
    </row>
    <row r="575" ht="15.75" customHeight="1">
      <c r="G575" s="44"/>
    </row>
    <row r="576" ht="15.75" customHeight="1">
      <c r="G576" s="44"/>
    </row>
    <row r="577" ht="15.75" customHeight="1">
      <c r="G577" s="44"/>
    </row>
    <row r="578" ht="15.75" customHeight="1">
      <c r="G578" s="44"/>
    </row>
    <row r="579" ht="15.75" customHeight="1">
      <c r="G579" s="44"/>
    </row>
    <row r="580" ht="15.75" customHeight="1">
      <c r="G580" s="44"/>
    </row>
    <row r="581" ht="15.75" customHeight="1">
      <c r="G581" s="44"/>
    </row>
    <row r="582" ht="15.75" customHeight="1">
      <c r="G582" s="44"/>
    </row>
    <row r="583" ht="15.75" customHeight="1">
      <c r="G583" s="44"/>
    </row>
    <row r="584" ht="15.75" customHeight="1">
      <c r="G584" s="44"/>
    </row>
    <row r="585" ht="15.75" customHeight="1">
      <c r="G585" s="44"/>
    </row>
    <row r="586" ht="15.75" customHeight="1">
      <c r="G586" s="44"/>
    </row>
    <row r="587" ht="15.75" customHeight="1">
      <c r="G587" s="44"/>
    </row>
    <row r="588" ht="15.75" customHeight="1">
      <c r="G588" s="44"/>
    </row>
    <row r="589" ht="15.75" customHeight="1">
      <c r="G589" s="44"/>
    </row>
    <row r="590" ht="15.75" customHeight="1">
      <c r="G590" s="44"/>
    </row>
    <row r="591" ht="15.75" customHeight="1">
      <c r="G591" s="44"/>
    </row>
    <row r="592" ht="15.75" customHeight="1">
      <c r="G592" s="44"/>
    </row>
    <row r="593" ht="15.75" customHeight="1">
      <c r="G593" s="44"/>
    </row>
    <row r="594" ht="15.75" customHeight="1">
      <c r="G594" s="44"/>
    </row>
    <row r="595" ht="15.75" customHeight="1">
      <c r="G595" s="44"/>
    </row>
    <row r="596" ht="15.75" customHeight="1">
      <c r="G596" s="44"/>
    </row>
    <row r="597" ht="15.75" customHeight="1">
      <c r="G597" s="44"/>
    </row>
    <row r="598" ht="15.75" customHeight="1">
      <c r="G598" s="44"/>
    </row>
    <row r="599" ht="15.75" customHeight="1">
      <c r="G599" s="44"/>
    </row>
    <row r="600" ht="15.75" customHeight="1">
      <c r="G600" s="44"/>
    </row>
    <row r="601" ht="15.75" customHeight="1">
      <c r="G601" s="44"/>
    </row>
    <row r="602" ht="15.75" customHeight="1">
      <c r="G602" s="44"/>
    </row>
    <row r="603" ht="15.75" customHeight="1">
      <c r="G603" s="44"/>
    </row>
    <row r="604" ht="15.75" customHeight="1">
      <c r="G604" s="44"/>
    </row>
    <row r="605" ht="15.75" customHeight="1">
      <c r="G605" s="44"/>
    </row>
    <row r="606" ht="15.75" customHeight="1">
      <c r="G606" s="44"/>
    </row>
    <row r="607" ht="15.75" customHeight="1">
      <c r="G607" s="44"/>
    </row>
    <row r="608" ht="15.75" customHeight="1">
      <c r="G608" s="44"/>
    </row>
    <row r="609" ht="15.75" customHeight="1">
      <c r="G609" s="44"/>
    </row>
    <row r="610" ht="15.75" customHeight="1">
      <c r="G610" s="44"/>
    </row>
    <row r="611" ht="15.75" customHeight="1">
      <c r="G611" s="44"/>
    </row>
    <row r="612" ht="15.75" customHeight="1">
      <c r="G612" s="44"/>
    </row>
    <row r="613" ht="15.75" customHeight="1">
      <c r="G613" s="44"/>
    </row>
    <row r="614" ht="15.75" customHeight="1">
      <c r="G614" s="44"/>
    </row>
    <row r="615" ht="15.75" customHeight="1">
      <c r="G615" s="44"/>
    </row>
    <row r="616" ht="15.75" customHeight="1">
      <c r="G616" s="44"/>
    </row>
    <row r="617" ht="15.75" customHeight="1">
      <c r="G617" s="44"/>
    </row>
    <row r="618" ht="15.75" customHeight="1">
      <c r="G618" s="44"/>
    </row>
    <row r="619" ht="15.75" customHeight="1">
      <c r="G619" s="44"/>
    </row>
    <row r="620" ht="15.75" customHeight="1">
      <c r="G620" s="44"/>
    </row>
    <row r="621" ht="15.75" customHeight="1">
      <c r="G621" s="44"/>
    </row>
    <row r="622" ht="15.75" customHeight="1">
      <c r="G622" s="44"/>
    </row>
    <row r="623" ht="15.75" customHeight="1">
      <c r="G623" s="44"/>
    </row>
    <row r="624" ht="15.75" customHeight="1">
      <c r="G624" s="44"/>
    </row>
    <row r="625" ht="15.75" customHeight="1">
      <c r="G625" s="44"/>
    </row>
    <row r="626" ht="15.75" customHeight="1">
      <c r="G626" s="44"/>
    </row>
    <row r="627" ht="15.75" customHeight="1">
      <c r="G627" s="44"/>
    </row>
    <row r="628" ht="15.75" customHeight="1">
      <c r="G628" s="44"/>
    </row>
    <row r="629" ht="15.75" customHeight="1">
      <c r="G629" s="44"/>
    </row>
    <row r="630" ht="15.75" customHeight="1">
      <c r="G630" s="44"/>
    </row>
    <row r="631" ht="15.75" customHeight="1">
      <c r="G631" s="44"/>
    </row>
    <row r="632" ht="15.75" customHeight="1">
      <c r="G632" s="44"/>
    </row>
    <row r="633" ht="15.75" customHeight="1">
      <c r="G633" s="44"/>
    </row>
    <row r="634" ht="15.75" customHeight="1">
      <c r="G634" s="44"/>
    </row>
    <row r="635" ht="15.75" customHeight="1">
      <c r="G635" s="44"/>
    </row>
    <row r="636" ht="15.75" customHeight="1">
      <c r="G636" s="44"/>
    </row>
    <row r="637" ht="15.75" customHeight="1">
      <c r="G637" s="44"/>
    </row>
    <row r="638" ht="15.75" customHeight="1">
      <c r="G638" s="44"/>
    </row>
    <row r="639" ht="15.75" customHeight="1">
      <c r="G639" s="44"/>
    </row>
    <row r="640" ht="15.75" customHeight="1">
      <c r="G640" s="44"/>
    </row>
    <row r="641" ht="15.75" customHeight="1">
      <c r="G641" s="44"/>
    </row>
    <row r="642" ht="15.75" customHeight="1">
      <c r="G642" s="44"/>
    </row>
    <row r="643" ht="15.75" customHeight="1">
      <c r="G643" s="44"/>
    </row>
    <row r="644" ht="15.75" customHeight="1">
      <c r="G644" s="44"/>
    </row>
    <row r="645" ht="15.75" customHeight="1">
      <c r="G645" s="44"/>
    </row>
    <row r="646" ht="15.75" customHeight="1">
      <c r="G646" s="44"/>
    </row>
    <row r="647" ht="15.75" customHeight="1">
      <c r="G647" s="44"/>
    </row>
    <row r="648" ht="15.75" customHeight="1">
      <c r="G648" s="44"/>
    </row>
    <row r="649" ht="15.75" customHeight="1">
      <c r="G649" s="44"/>
    </row>
    <row r="650" ht="15.75" customHeight="1">
      <c r="G650" s="44"/>
    </row>
    <row r="651" ht="15.75" customHeight="1">
      <c r="G651" s="44"/>
    </row>
    <row r="652" ht="15.75" customHeight="1">
      <c r="G652" s="44"/>
    </row>
    <row r="653" ht="15.75" customHeight="1">
      <c r="G653" s="44"/>
    </row>
    <row r="654" ht="15.75" customHeight="1">
      <c r="G654" s="44"/>
    </row>
    <row r="655" ht="15.75" customHeight="1">
      <c r="G655" s="44"/>
    </row>
    <row r="656" ht="15.75" customHeight="1">
      <c r="G656" s="44"/>
    </row>
    <row r="657" ht="15.75" customHeight="1">
      <c r="G657" s="44"/>
    </row>
    <row r="658" ht="15.75" customHeight="1">
      <c r="G658" s="44"/>
    </row>
    <row r="659" ht="15.75" customHeight="1">
      <c r="G659" s="44"/>
    </row>
    <row r="660" ht="15.75" customHeight="1">
      <c r="G660" s="44"/>
    </row>
    <row r="661" ht="15.75" customHeight="1">
      <c r="G661" s="44"/>
    </row>
    <row r="662" ht="15.75" customHeight="1">
      <c r="G662" s="44"/>
    </row>
    <row r="663" ht="15.75" customHeight="1">
      <c r="G663" s="44"/>
    </row>
    <row r="664" ht="15.75" customHeight="1">
      <c r="G664" s="44"/>
    </row>
    <row r="665" ht="15.75" customHeight="1">
      <c r="G665" s="44"/>
    </row>
    <row r="666" ht="15.75" customHeight="1">
      <c r="G666" s="44"/>
    </row>
    <row r="667" ht="15.75" customHeight="1">
      <c r="G667" s="44"/>
    </row>
    <row r="668" ht="15.75" customHeight="1">
      <c r="G668" s="44"/>
    </row>
    <row r="669" ht="15.75" customHeight="1">
      <c r="G669" s="44"/>
    </row>
    <row r="670" ht="15.75" customHeight="1">
      <c r="G670" s="44"/>
    </row>
    <row r="671" ht="15.75" customHeight="1">
      <c r="G671" s="44"/>
    </row>
    <row r="672" ht="15.75" customHeight="1">
      <c r="G672" s="44"/>
    </row>
    <row r="673" ht="15.75" customHeight="1">
      <c r="G673" s="44"/>
    </row>
    <row r="674" ht="15.75" customHeight="1">
      <c r="G674" s="44"/>
    </row>
    <row r="675" ht="15.75" customHeight="1">
      <c r="G675" s="44"/>
    </row>
    <row r="676" ht="15.75" customHeight="1">
      <c r="G676" s="44"/>
    </row>
    <row r="677" ht="15.75" customHeight="1">
      <c r="G677" s="44"/>
    </row>
    <row r="678" ht="15.75" customHeight="1">
      <c r="G678" s="44"/>
    </row>
    <row r="679" ht="15.75" customHeight="1">
      <c r="G679" s="44"/>
    </row>
    <row r="680" ht="15.75" customHeight="1">
      <c r="G680" s="44"/>
    </row>
    <row r="681" ht="15.75" customHeight="1">
      <c r="G681" s="44"/>
    </row>
    <row r="682" ht="15.75" customHeight="1">
      <c r="G682" s="44"/>
    </row>
    <row r="683" ht="15.75" customHeight="1">
      <c r="G683" s="44"/>
    </row>
    <row r="684" ht="15.75" customHeight="1">
      <c r="G684" s="44"/>
    </row>
    <row r="685" ht="15.75" customHeight="1">
      <c r="G685" s="44"/>
    </row>
    <row r="686" ht="15.75" customHeight="1">
      <c r="G686" s="44"/>
    </row>
    <row r="687" ht="15.75" customHeight="1">
      <c r="G687" s="44"/>
    </row>
    <row r="688" ht="15.75" customHeight="1">
      <c r="G688" s="44"/>
    </row>
    <row r="689" ht="15.75" customHeight="1">
      <c r="G689" s="44"/>
    </row>
    <row r="690" ht="15.75" customHeight="1">
      <c r="G690" s="44"/>
    </row>
    <row r="691" ht="15.75" customHeight="1">
      <c r="G691" s="44"/>
    </row>
    <row r="692" ht="15.75" customHeight="1">
      <c r="G692" s="44"/>
    </row>
    <row r="693" ht="15.75" customHeight="1">
      <c r="G693" s="44"/>
    </row>
    <row r="694" ht="15.75" customHeight="1">
      <c r="G694" s="44"/>
    </row>
    <row r="695" ht="15.75" customHeight="1">
      <c r="G695" s="44"/>
    </row>
    <row r="696" ht="15.75" customHeight="1">
      <c r="G696" s="44"/>
    </row>
    <row r="697" ht="15.75" customHeight="1">
      <c r="G697" s="44"/>
    </row>
    <row r="698" ht="15.75" customHeight="1">
      <c r="G698" s="44"/>
    </row>
    <row r="699" ht="15.75" customHeight="1">
      <c r="G699" s="44"/>
    </row>
    <row r="700" ht="15.75" customHeight="1">
      <c r="G700" s="44"/>
    </row>
    <row r="701" ht="15.75" customHeight="1">
      <c r="G701" s="44"/>
    </row>
    <row r="702" ht="15.75" customHeight="1">
      <c r="G702" s="44"/>
    </row>
    <row r="703" ht="15.75" customHeight="1">
      <c r="G703" s="44"/>
    </row>
    <row r="704" ht="15.75" customHeight="1">
      <c r="G704" s="44"/>
    </row>
    <row r="705" ht="15.75" customHeight="1">
      <c r="G705" s="44"/>
    </row>
    <row r="706" ht="15.75" customHeight="1">
      <c r="G706" s="44"/>
    </row>
    <row r="707" ht="15.75" customHeight="1">
      <c r="G707" s="44"/>
    </row>
    <row r="708" ht="15.75" customHeight="1">
      <c r="G708" s="44"/>
    </row>
    <row r="709" ht="15.75" customHeight="1">
      <c r="G709" s="44"/>
    </row>
    <row r="710" ht="15.75" customHeight="1">
      <c r="G710" s="44"/>
    </row>
    <row r="711" ht="15.75" customHeight="1">
      <c r="G711" s="44"/>
    </row>
    <row r="712" ht="15.75" customHeight="1">
      <c r="G712" s="44"/>
    </row>
    <row r="713" ht="15.75" customHeight="1">
      <c r="G713" s="44"/>
    </row>
    <row r="714" ht="15.75" customHeight="1">
      <c r="G714" s="44"/>
    </row>
    <row r="715" ht="15.75" customHeight="1">
      <c r="G715" s="44"/>
    </row>
    <row r="716" ht="15.75" customHeight="1">
      <c r="G716" s="44"/>
    </row>
    <row r="717" ht="15.75" customHeight="1">
      <c r="G717" s="44"/>
    </row>
    <row r="718" ht="15.75" customHeight="1">
      <c r="G718" s="44"/>
    </row>
    <row r="719" ht="15.75" customHeight="1">
      <c r="G719" s="44"/>
    </row>
    <row r="720" ht="15.75" customHeight="1">
      <c r="G720" s="44"/>
    </row>
    <row r="721" ht="15.75" customHeight="1">
      <c r="G721" s="44"/>
    </row>
    <row r="722" ht="15.75" customHeight="1">
      <c r="G722" s="44"/>
    </row>
    <row r="723" ht="15.75" customHeight="1">
      <c r="G723" s="44"/>
    </row>
    <row r="724" ht="15.75" customHeight="1">
      <c r="G724" s="44"/>
    </row>
    <row r="725" ht="15.75" customHeight="1">
      <c r="G725" s="44"/>
    </row>
    <row r="726" ht="15.75" customHeight="1">
      <c r="G726" s="44"/>
    </row>
    <row r="727" ht="15.75" customHeight="1">
      <c r="G727" s="44"/>
    </row>
    <row r="728" ht="15.75" customHeight="1">
      <c r="G728" s="44"/>
    </row>
    <row r="729" ht="15.75" customHeight="1">
      <c r="G729" s="44"/>
    </row>
    <row r="730" ht="15.75" customHeight="1">
      <c r="G730" s="44"/>
    </row>
    <row r="731" ht="15.75" customHeight="1">
      <c r="G731" s="44"/>
    </row>
    <row r="732" ht="15.75" customHeight="1">
      <c r="G732" s="44"/>
    </row>
    <row r="733" ht="15.75" customHeight="1">
      <c r="G733" s="44"/>
    </row>
    <row r="734" ht="15.75" customHeight="1">
      <c r="G734" s="44"/>
    </row>
    <row r="735" ht="15.75" customHeight="1">
      <c r="G735" s="44"/>
    </row>
    <row r="736" ht="15.75" customHeight="1">
      <c r="G736" s="44"/>
    </row>
    <row r="737" ht="15.75" customHeight="1">
      <c r="G737" s="44"/>
    </row>
    <row r="738" ht="15.75" customHeight="1">
      <c r="G738" s="44"/>
    </row>
    <row r="739" ht="15.75" customHeight="1">
      <c r="G739" s="44"/>
    </row>
    <row r="740" ht="15.75" customHeight="1">
      <c r="G740" s="44"/>
    </row>
    <row r="741" ht="15.75" customHeight="1">
      <c r="G741" s="44"/>
    </row>
    <row r="742" ht="15.75" customHeight="1">
      <c r="G742" s="44"/>
    </row>
    <row r="743" ht="15.75" customHeight="1">
      <c r="G743" s="44"/>
    </row>
    <row r="744" ht="15.75" customHeight="1">
      <c r="G744" s="44"/>
    </row>
    <row r="745" ht="15.75" customHeight="1">
      <c r="G745" s="44"/>
    </row>
    <row r="746" ht="15.75" customHeight="1">
      <c r="G746" s="44"/>
    </row>
    <row r="747" ht="15.75" customHeight="1">
      <c r="G747" s="44"/>
    </row>
    <row r="748" ht="15.75" customHeight="1">
      <c r="G748" s="44"/>
    </row>
    <row r="749" ht="15.75" customHeight="1">
      <c r="G749" s="44"/>
    </row>
    <row r="750" ht="15.75" customHeight="1">
      <c r="G750" s="44"/>
    </row>
    <row r="751" ht="15.75" customHeight="1">
      <c r="G751" s="44"/>
    </row>
    <row r="752" ht="15.75" customHeight="1">
      <c r="G752" s="44"/>
    </row>
    <row r="753" ht="15.75" customHeight="1">
      <c r="G753" s="44"/>
    </row>
    <row r="754" ht="15.75" customHeight="1">
      <c r="G754" s="44"/>
    </row>
    <row r="755" ht="15.75" customHeight="1">
      <c r="G755" s="44"/>
    </row>
    <row r="756" ht="15.75" customHeight="1">
      <c r="G756" s="44"/>
    </row>
    <row r="757" ht="15.75" customHeight="1">
      <c r="G757" s="44"/>
    </row>
    <row r="758" ht="15.75" customHeight="1">
      <c r="G758" s="44"/>
    </row>
    <row r="759" ht="15.75" customHeight="1">
      <c r="G759" s="44"/>
    </row>
    <row r="760" ht="15.75" customHeight="1">
      <c r="G760" s="44"/>
    </row>
    <row r="761" ht="15.75" customHeight="1">
      <c r="G761" s="44"/>
    </row>
    <row r="762" ht="15.75" customHeight="1">
      <c r="G762" s="44"/>
    </row>
    <row r="763" ht="15.75" customHeight="1">
      <c r="G763" s="44"/>
    </row>
    <row r="764" ht="15.75" customHeight="1">
      <c r="G764" s="44"/>
    </row>
    <row r="765" ht="15.75" customHeight="1">
      <c r="G765" s="44"/>
    </row>
    <row r="766" ht="15.75" customHeight="1">
      <c r="G766" s="44"/>
    </row>
    <row r="767" ht="15.75" customHeight="1">
      <c r="G767" s="44"/>
    </row>
    <row r="768" ht="15.75" customHeight="1">
      <c r="G768" s="44"/>
    </row>
    <row r="769" ht="15.75" customHeight="1">
      <c r="G769" s="44"/>
    </row>
    <row r="770" ht="15.75" customHeight="1">
      <c r="G770" s="44"/>
    </row>
    <row r="771" ht="15.75" customHeight="1">
      <c r="G771" s="44"/>
    </row>
    <row r="772" ht="15.75" customHeight="1">
      <c r="G772" s="44"/>
    </row>
    <row r="773" ht="15.75" customHeight="1">
      <c r="G773" s="44"/>
    </row>
    <row r="774" ht="15.75" customHeight="1">
      <c r="G774" s="44"/>
    </row>
    <row r="775" ht="15.75" customHeight="1">
      <c r="G775" s="44"/>
    </row>
    <row r="776" ht="15.75" customHeight="1">
      <c r="G776" s="44"/>
    </row>
    <row r="777" ht="15.75" customHeight="1">
      <c r="G777" s="44"/>
    </row>
    <row r="778" ht="15.75" customHeight="1">
      <c r="G778" s="44"/>
    </row>
    <row r="779" ht="15.75" customHeight="1">
      <c r="G779" s="44"/>
    </row>
    <row r="780" ht="15.75" customHeight="1">
      <c r="G780" s="44"/>
    </row>
    <row r="781" ht="15.75" customHeight="1">
      <c r="G781" s="44"/>
    </row>
    <row r="782" ht="15.75" customHeight="1">
      <c r="G782" s="44"/>
    </row>
    <row r="783" ht="15.75" customHeight="1">
      <c r="G783" s="44"/>
    </row>
    <row r="784" ht="15.75" customHeight="1">
      <c r="G784" s="44"/>
    </row>
    <row r="785" ht="15.75" customHeight="1">
      <c r="G785" s="44"/>
    </row>
    <row r="786" ht="15.75" customHeight="1">
      <c r="G786" s="44"/>
    </row>
    <row r="787" ht="15.75" customHeight="1">
      <c r="G787" s="44"/>
    </row>
    <row r="788" ht="15.75" customHeight="1">
      <c r="G788" s="44"/>
    </row>
    <row r="789" ht="15.75" customHeight="1">
      <c r="G789" s="44"/>
    </row>
    <row r="790" ht="15.75" customHeight="1">
      <c r="G790" s="44"/>
    </row>
    <row r="791" ht="15.75" customHeight="1">
      <c r="G791" s="44"/>
    </row>
    <row r="792" ht="15.75" customHeight="1">
      <c r="G792" s="44"/>
    </row>
    <row r="793" ht="15.75" customHeight="1">
      <c r="G793" s="44"/>
    </row>
    <row r="794" ht="15.75" customHeight="1">
      <c r="G794" s="44"/>
    </row>
    <row r="795" ht="15.75" customHeight="1">
      <c r="G795" s="44"/>
    </row>
    <row r="796" ht="15.75" customHeight="1">
      <c r="G796" s="44"/>
    </row>
    <row r="797" ht="15.75" customHeight="1">
      <c r="G797" s="44"/>
    </row>
    <row r="798" ht="15.75" customHeight="1">
      <c r="G798" s="44"/>
    </row>
    <row r="799" ht="15.75" customHeight="1">
      <c r="G799" s="44"/>
    </row>
    <row r="800" ht="15.75" customHeight="1">
      <c r="G800" s="44"/>
    </row>
    <row r="801" ht="15.75" customHeight="1">
      <c r="G801" s="44"/>
    </row>
    <row r="802" ht="15.75" customHeight="1">
      <c r="G802" s="44"/>
    </row>
    <row r="803" ht="15.75" customHeight="1">
      <c r="G803" s="44"/>
    </row>
    <row r="804" ht="15.75" customHeight="1">
      <c r="G804" s="44"/>
    </row>
    <row r="805" ht="15.75" customHeight="1">
      <c r="G805" s="44"/>
    </row>
    <row r="806" ht="15.75" customHeight="1">
      <c r="G806" s="44"/>
    </row>
    <row r="807" ht="15.75" customHeight="1">
      <c r="G807" s="44"/>
    </row>
    <row r="808" ht="15.75" customHeight="1">
      <c r="G808" s="44"/>
    </row>
    <row r="809" ht="15.75" customHeight="1">
      <c r="G809" s="44"/>
    </row>
    <row r="810" ht="15.75" customHeight="1">
      <c r="G810" s="44"/>
    </row>
    <row r="811" ht="15.75" customHeight="1">
      <c r="G811" s="44"/>
    </row>
    <row r="812" ht="15.75" customHeight="1">
      <c r="G812" s="44"/>
    </row>
    <row r="813" ht="15.75" customHeight="1">
      <c r="G813" s="44"/>
    </row>
    <row r="814" ht="15.75" customHeight="1">
      <c r="G814" s="44"/>
    </row>
    <row r="815" ht="15.75" customHeight="1">
      <c r="G815" s="44"/>
    </row>
    <row r="816" ht="15.75" customHeight="1">
      <c r="G816" s="44"/>
    </row>
    <row r="817" ht="15.75" customHeight="1">
      <c r="G817" s="44"/>
    </row>
    <row r="818" ht="15.75" customHeight="1">
      <c r="G818" s="44"/>
    </row>
    <row r="819" ht="15.75" customHeight="1">
      <c r="G819" s="44"/>
    </row>
    <row r="820" ht="15.75" customHeight="1">
      <c r="G820" s="44"/>
    </row>
    <row r="821" ht="15.75" customHeight="1">
      <c r="G821" s="44"/>
    </row>
    <row r="822" ht="15.75" customHeight="1">
      <c r="G822" s="44"/>
    </row>
    <row r="823" ht="15.75" customHeight="1">
      <c r="G823" s="44"/>
    </row>
    <row r="824" ht="15.75" customHeight="1">
      <c r="G824" s="44"/>
    </row>
    <row r="825" ht="15.75" customHeight="1">
      <c r="G825" s="44"/>
    </row>
    <row r="826" ht="15.75" customHeight="1">
      <c r="G826" s="44"/>
    </row>
    <row r="827" ht="15.75" customHeight="1">
      <c r="G827" s="44"/>
    </row>
    <row r="828" ht="15.75" customHeight="1">
      <c r="G828" s="44"/>
    </row>
    <row r="829" ht="15.75" customHeight="1">
      <c r="G829" s="44"/>
    </row>
    <row r="830" ht="15.75" customHeight="1">
      <c r="G830" s="44"/>
    </row>
    <row r="831" ht="15.75" customHeight="1">
      <c r="G831" s="44"/>
    </row>
    <row r="832" ht="15.75" customHeight="1">
      <c r="G832" s="44"/>
    </row>
    <row r="833" ht="15.75" customHeight="1">
      <c r="G833" s="44"/>
    </row>
    <row r="834" ht="15.75" customHeight="1">
      <c r="G834" s="44"/>
    </row>
    <row r="835" ht="15.75" customHeight="1">
      <c r="G835" s="44"/>
    </row>
    <row r="836" ht="15.75" customHeight="1">
      <c r="G836" s="44"/>
    </row>
    <row r="837" ht="15.75" customHeight="1">
      <c r="G837" s="44"/>
    </row>
    <row r="838" ht="15.75" customHeight="1">
      <c r="G838" s="44"/>
    </row>
    <row r="839" ht="15.75" customHeight="1">
      <c r="G839" s="44"/>
    </row>
    <row r="840" ht="15.75" customHeight="1">
      <c r="G840" s="44"/>
    </row>
    <row r="841" ht="15.75" customHeight="1">
      <c r="G841" s="44"/>
    </row>
    <row r="842" ht="15.75" customHeight="1">
      <c r="G842" s="44"/>
    </row>
    <row r="843" ht="15.75" customHeight="1">
      <c r="G843" s="44"/>
    </row>
    <row r="844" ht="15.75" customHeight="1">
      <c r="G844" s="44"/>
    </row>
    <row r="845" ht="15.75" customHeight="1">
      <c r="G845" s="44"/>
    </row>
    <row r="846" ht="15.75" customHeight="1">
      <c r="G846" s="44"/>
    </row>
    <row r="847" ht="15.75" customHeight="1">
      <c r="G847" s="44"/>
    </row>
    <row r="848" ht="15.75" customHeight="1">
      <c r="G848" s="44"/>
    </row>
    <row r="849" ht="15.75" customHeight="1">
      <c r="G849" s="44"/>
    </row>
    <row r="850" ht="15.75" customHeight="1">
      <c r="G850" s="44"/>
    </row>
    <row r="851" ht="15.75" customHeight="1">
      <c r="G851" s="44"/>
    </row>
    <row r="852" ht="15.75" customHeight="1">
      <c r="G852" s="44"/>
    </row>
    <row r="853" ht="15.75" customHeight="1">
      <c r="G853" s="44"/>
    </row>
    <row r="854" ht="15.75" customHeight="1">
      <c r="G854" s="44"/>
    </row>
    <row r="855" ht="15.75" customHeight="1">
      <c r="G855" s="44"/>
    </row>
    <row r="856" ht="15.75" customHeight="1">
      <c r="G856" s="44"/>
    </row>
    <row r="857" ht="15.75" customHeight="1">
      <c r="G857" s="44"/>
    </row>
    <row r="858" ht="15.75" customHeight="1">
      <c r="G858" s="44"/>
    </row>
    <row r="859" ht="15.75" customHeight="1">
      <c r="G859" s="44"/>
    </row>
    <row r="860" ht="15.75" customHeight="1">
      <c r="G860" s="44"/>
    </row>
    <row r="861" ht="15.75" customHeight="1">
      <c r="G861" s="44"/>
    </row>
    <row r="862" ht="15.75" customHeight="1">
      <c r="G862" s="44"/>
    </row>
    <row r="863" ht="15.75" customHeight="1">
      <c r="G863" s="44"/>
    </row>
    <row r="864" ht="15.75" customHeight="1">
      <c r="G864" s="44"/>
    </row>
    <row r="865" ht="15.75" customHeight="1">
      <c r="G865" s="44"/>
    </row>
    <row r="866" ht="15.75" customHeight="1">
      <c r="G866" s="44"/>
    </row>
    <row r="867" ht="15.75" customHeight="1">
      <c r="G867" s="44"/>
    </row>
    <row r="868" ht="15.75" customHeight="1">
      <c r="G868" s="44"/>
    </row>
    <row r="869" ht="15.75" customHeight="1">
      <c r="G869" s="44"/>
    </row>
    <row r="870" ht="15.75" customHeight="1">
      <c r="G870" s="44"/>
    </row>
    <row r="871" ht="15.75" customHeight="1">
      <c r="G871" s="44"/>
    </row>
    <row r="872" ht="15.75" customHeight="1">
      <c r="G872" s="44"/>
    </row>
    <row r="873" ht="15.75" customHeight="1">
      <c r="G873" s="44"/>
    </row>
    <row r="874" ht="15.75" customHeight="1">
      <c r="G874" s="44"/>
    </row>
    <row r="875" ht="15.75" customHeight="1">
      <c r="G875" s="44"/>
    </row>
    <row r="876" ht="15.75" customHeight="1">
      <c r="G876" s="44"/>
    </row>
    <row r="877" ht="15.75" customHeight="1">
      <c r="G877" s="44"/>
    </row>
    <row r="878" ht="15.75" customHeight="1">
      <c r="G878" s="44"/>
    </row>
    <row r="879" ht="15.75" customHeight="1">
      <c r="G879" s="44"/>
    </row>
    <row r="880" ht="15.75" customHeight="1">
      <c r="G880" s="44"/>
    </row>
    <row r="881" ht="15.75" customHeight="1">
      <c r="G881" s="44"/>
    </row>
    <row r="882" ht="15.75" customHeight="1">
      <c r="G882" s="44"/>
    </row>
    <row r="883" ht="15.75" customHeight="1">
      <c r="G883" s="44"/>
    </row>
    <row r="884" ht="15.75" customHeight="1">
      <c r="G884" s="44"/>
    </row>
    <row r="885" ht="15.75" customHeight="1">
      <c r="G885" s="44"/>
    </row>
    <row r="886" ht="15.75" customHeight="1">
      <c r="G886" s="44"/>
    </row>
    <row r="887" ht="15.75" customHeight="1">
      <c r="G887" s="44"/>
    </row>
    <row r="888" ht="15.75" customHeight="1">
      <c r="G888" s="44"/>
    </row>
    <row r="889" ht="15.75" customHeight="1">
      <c r="G889" s="44"/>
    </row>
    <row r="890" ht="15.75" customHeight="1">
      <c r="G890" s="44"/>
    </row>
    <row r="891" ht="15.75" customHeight="1">
      <c r="G891" s="44"/>
    </row>
    <row r="892" ht="15.75" customHeight="1">
      <c r="G892" s="44"/>
    </row>
    <row r="893" ht="15.75" customHeight="1">
      <c r="G893" s="44"/>
    </row>
    <row r="894" ht="15.75" customHeight="1">
      <c r="G894" s="44"/>
    </row>
    <row r="895" ht="15.75" customHeight="1">
      <c r="G895" s="44"/>
    </row>
    <row r="896" ht="15.75" customHeight="1">
      <c r="G896" s="44"/>
    </row>
    <row r="897" ht="15.75" customHeight="1">
      <c r="G897" s="44"/>
    </row>
    <row r="898" ht="15.75" customHeight="1">
      <c r="G898" s="44"/>
    </row>
    <row r="899" ht="15.75" customHeight="1">
      <c r="G899" s="44"/>
    </row>
    <row r="900" ht="15.75" customHeight="1">
      <c r="G900" s="44"/>
    </row>
    <row r="901" ht="15.75" customHeight="1">
      <c r="G901" s="44"/>
    </row>
    <row r="902" ht="15.75" customHeight="1">
      <c r="G902" s="44"/>
    </row>
    <row r="903" ht="15.75" customHeight="1">
      <c r="G903" s="44"/>
    </row>
    <row r="904" ht="15.75" customHeight="1">
      <c r="G904" s="44"/>
    </row>
    <row r="905" ht="15.75" customHeight="1">
      <c r="G905" s="44"/>
    </row>
    <row r="906" ht="15.75" customHeight="1">
      <c r="G906" s="44"/>
    </row>
    <row r="907" ht="15.75" customHeight="1">
      <c r="G907" s="44"/>
    </row>
    <row r="908" ht="15.75" customHeight="1">
      <c r="G908" s="44"/>
    </row>
    <row r="909" ht="15.75" customHeight="1">
      <c r="G909" s="44"/>
    </row>
    <row r="910" ht="15.75" customHeight="1">
      <c r="G910" s="44"/>
    </row>
    <row r="911" ht="15.75" customHeight="1">
      <c r="G911" s="44"/>
    </row>
    <row r="912" ht="15.75" customHeight="1">
      <c r="G912" s="44"/>
    </row>
    <row r="913" ht="15.75" customHeight="1">
      <c r="G913" s="44"/>
    </row>
    <row r="914" ht="15.75" customHeight="1">
      <c r="G914" s="44"/>
    </row>
    <row r="915" ht="15.75" customHeight="1">
      <c r="G915" s="44"/>
    </row>
    <row r="916" ht="15.75" customHeight="1">
      <c r="G916" s="44"/>
    </row>
    <row r="917" ht="15.75" customHeight="1">
      <c r="G917" s="44"/>
    </row>
    <row r="918" ht="15.75" customHeight="1">
      <c r="G918" s="44"/>
    </row>
    <row r="919" ht="15.75" customHeight="1">
      <c r="G919" s="44"/>
    </row>
    <row r="920" ht="15.75" customHeight="1">
      <c r="G920" s="44"/>
    </row>
    <row r="921" ht="15.75" customHeight="1">
      <c r="G921" s="44"/>
    </row>
    <row r="922" ht="15.75" customHeight="1">
      <c r="G922" s="44"/>
    </row>
    <row r="923" ht="15.75" customHeight="1">
      <c r="G923" s="44"/>
    </row>
    <row r="924" ht="15.75" customHeight="1">
      <c r="G924" s="44"/>
    </row>
    <row r="925" ht="15.75" customHeight="1">
      <c r="G925" s="44"/>
    </row>
    <row r="926" ht="15.75" customHeight="1">
      <c r="G926" s="44"/>
    </row>
    <row r="927" ht="15.75" customHeight="1">
      <c r="G927" s="44"/>
    </row>
    <row r="928" ht="15.75" customHeight="1">
      <c r="G928" s="44"/>
    </row>
    <row r="929" ht="15.75" customHeight="1">
      <c r="G929" s="44"/>
    </row>
    <row r="930" ht="15.75" customHeight="1">
      <c r="G930" s="44"/>
    </row>
    <row r="931" ht="15.75" customHeight="1">
      <c r="G931" s="44"/>
    </row>
    <row r="932" ht="15.75" customHeight="1">
      <c r="G932" s="44"/>
    </row>
    <row r="933" ht="15.75" customHeight="1">
      <c r="G933" s="44"/>
    </row>
    <row r="934" ht="15.75" customHeight="1">
      <c r="G934" s="44"/>
    </row>
    <row r="935" ht="15.75" customHeight="1">
      <c r="G935" s="44"/>
    </row>
    <row r="936" ht="15.75" customHeight="1">
      <c r="G936" s="44"/>
    </row>
    <row r="937" ht="15.75" customHeight="1">
      <c r="G937" s="44"/>
    </row>
    <row r="938" ht="15.75" customHeight="1">
      <c r="G938" s="44"/>
    </row>
    <row r="939" ht="15.75" customHeight="1">
      <c r="G939" s="44"/>
    </row>
    <row r="940" ht="15.75" customHeight="1">
      <c r="G940" s="44"/>
    </row>
    <row r="941" ht="15.75" customHeight="1">
      <c r="G941" s="44"/>
    </row>
    <row r="942" ht="15.75" customHeight="1">
      <c r="G942" s="44"/>
    </row>
    <row r="943" ht="15.75" customHeight="1">
      <c r="G943" s="44"/>
    </row>
    <row r="944" ht="15.75" customHeight="1">
      <c r="G944" s="44"/>
    </row>
    <row r="945" ht="15.75" customHeight="1">
      <c r="G945" s="44"/>
    </row>
    <row r="946" ht="15.75" customHeight="1">
      <c r="G946" s="44"/>
    </row>
    <row r="947" ht="15.75" customHeight="1">
      <c r="G947" s="44"/>
    </row>
    <row r="948" ht="15.75" customHeight="1">
      <c r="G948" s="44"/>
    </row>
    <row r="949" ht="15.75" customHeight="1">
      <c r="G949" s="44"/>
    </row>
    <row r="950" ht="15.75" customHeight="1">
      <c r="G950" s="44"/>
    </row>
    <row r="951" ht="15.75" customHeight="1">
      <c r="G951" s="44"/>
    </row>
    <row r="952" ht="15.75" customHeight="1">
      <c r="G952" s="44"/>
    </row>
    <row r="953" ht="15.75" customHeight="1">
      <c r="G953" s="44"/>
    </row>
    <row r="954" ht="15.75" customHeight="1">
      <c r="G954" s="44"/>
    </row>
    <row r="955" ht="15.75" customHeight="1">
      <c r="G955" s="44"/>
    </row>
    <row r="956" ht="15.75" customHeight="1">
      <c r="G956" s="44"/>
    </row>
    <row r="957" ht="15.75" customHeight="1">
      <c r="G957" s="44"/>
    </row>
    <row r="958" ht="15.75" customHeight="1">
      <c r="G958" s="44"/>
    </row>
    <row r="959" ht="15.75" customHeight="1">
      <c r="G959" s="44"/>
    </row>
    <row r="960" ht="15.75" customHeight="1">
      <c r="G960" s="44"/>
    </row>
    <row r="961" ht="15.75" customHeight="1">
      <c r="G961" s="44"/>
    </row>
    <row r="962" ht="15.75" customHeight="1">
      <c r="G962" s="44"/>
    </row>
    <row r="963" ht="15.75" customHeight="1">
      <c r="G963" s="44"/>
    </row>
    <row r="964" ht="15.75" customHeight="1">
      <c r="G964" s="44"/>
    </row>
    <row r="965" ht="15.75" customHeight="1">
      <c r="G965" s="44"/>
    </row>
    <row r="966" ht="15.75" customHeight="1">
      <c r="G966" s="44"/>
    </row>
    <row r="967" ht="15.75" customHeight="1">
      <c r="G967" s="44"/>
    </row>
    <row r="968" ht="15.75" customHeight="1">
      <c r="G968" s="44"/>
    </row>
    <row r="969" ht="15.75" customHeight="1">
      <c r="G969" s="44"/>
    </row>
    <row r="970" ht="15.75" customHeight="1">
      <c r="G970" s="44"/>
    </row>
    <row r="971" ht="15.75" customHeight="1">
      <c r="G971" s="44"/>
    </row>
    <row r="972" ht="15.75" customHeight="1">
      <c r="G972" s="44"/>
    </row>
    <row r="973" ht="15.75" customHeight="1">
      <c r="G973" s="44"/>
    </row>
    <row r="974" ht="15.75" customHeight="1">
      <c r="G974" s="44"/>
    </row>
    <row r="975" ht="15.75" customHeight="1">
      <c r="G975" s="44"/>
    </row>
    <row r="976" ht="15.75" customHeight="1">
      <c r="G976" s="44"/>
    </row>
    <row r="977" ht="15.75" customHeight="1">
      <c r="G977" s="44"/>
    </row>
    <row r="978" ht="15.75" customHeight="1">
      <c r="G978" s="44"/>
    </row>
    <row r="979" ht="15.75" customHeight="1">
      <c r="G979" s="44"/>
    </row>
    <row r="980" ht="15.75" customHeight="1">
      <c r="G980" s="44"/>
    </row>
    <row r="981" ht="15.75" customHeight="1">
      <c r="G981" s="44"/>
    </row>
    <row r="982" ht="15.75" customHeight="1">
      <c r="G982" s="44"/>
    </row>
    <row r="983" ht="15.75" customHeight="1">
      <c r="G983" s="44"/>
    </row>
    <row r="984" ht="15.75" customHeight="1">
      <c r="G984" s="44"/>
    </row>
    <row r="985" ht="15.75" customHeight="1">
      <c r="G985" s="44"/>
    </row>
    <row r="986" ht="15.75" customHeight="1">
      <c r="G986" s="44"/>
    </row>
    <row r="987" ht="15.75" customHeight="1">
      <c r="G987" s="44"/>
    </row>
    <row r="988" ht="15.75" customHeight="1">
      <c r="G988" s="44"/>
    </row>
    <row r="989" ht="15.75" customHeight="1">
      <c r="G989" s="44"/>
    </row>
    <row r="990" ht="15.75" customHeight="1">
      <c r="G990" s="44"/>
    </row>
    <row r="991" ht="15.75" customHeight="1">
      <c r="G991" s="44"/>
    </row>
    <row r="992" ht="15.75" customHeight="1">
      <c r="G992" s="44"/>
    </row>
    <row r="993" ht="15.75" customHeight="1">
      <c r="G993" s="44"/>
    </row>
    <row r="994" ht="15.75" customHeight="1">
      <c r="G994" s="44"/>
    </row>
    <row r="995" ht="15.75" customHeight="1">
      <c r="G995" s="44"/>
    </row>
    <row r="996" ht="15.75" customHeight="1">
      <c r="G996" s="44"/>
    </row>
    <row r="997" ht="15.75" customHeight="1">
      <c r="G997" s="44"/>
    </row>
    <row r="998" ht="15.75" customHeight="1">
      <c r="G998" s="44"/>
    </row>
    <row r="999" ht="15.75" customHeight="1">
      <c r="G999" s="44"/>
    </row>
    <row r="1000" ht="15.75" customHeight="1">
      <c r="G1000" s="44"/>
    </row>
  </sheetData>
  <dataValidations>
    <dataValidation type="list" allowBlank="1" showErrorMessage="1" sqref="E2:E27">
      <formula1>Source!$A$8:$A$10</formula1>
    </dataValidation>
    <dataValidation type="decimal" allowBlank="1" showInputMessage="1" showErrorMessage="1" prompt="Number of payment should be between 1 and 26" sqref="B8:B9">
      <formula1>Source!B5</formula1>
      <formula2>Source!B6</formula2>
    </dataValidation>
    <dataValidation type="list" allowBlank="1" showErrorMessage="1" sqref="B5">
      <formula1>Source!$A$1:$A$3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3" width="11.13"/>
    <col customWidth="1" min="4" max="4" width="13.25"/>
    <col customWidth="1" min="5" max="5" width="11.13"/>
    <col customWidth="1" min="6" max="6" width="10.0"/>
    <col customWidth="1" min="7" max="7" width="10.25"/>
    <col customWidth="1" min="8" max="8" width="8.75"/>
    <col customWidth="1" min="9" max="9" width="10.25"/>
    <col customWidth="1" min="10" max="10" width="15.38"/>
    <col customWidth="1" min="11" max="11" width="10.25"/>
    <col customWidth="1" min="12" max="12" width="8.88"/>
    <col customWidth="1" min="13" max="13" width="9.63"/>
    <col customWidth="1" min="14" max="16" width="8.63"/>
    <col customWidth="1" min="17" max="17" width="15.0"/>
    <col customWidth="1" min="18" max="45" width="8.63"/>
  </cols>
  <sheetData>
    <row r="1" ht="12.75" customHeight="1">
      <c r="A1" s="16" t="s">
        <v>0</v>
      </c>
      <c r="B1" s="16" t="s">
        <v>70</v>
      </c>
      <c r="C1" s="61" t="s">
        <v>2</v>
      </c>
      <c r="D1" s="61" t="s">
        <v>71</v>
      </c>
      <c r="E1" s="61" t="s">
        <v>3</v>
      </c>
      <c r="F1" s="61" t="s">
        <v>4</v>
      </c>
      <c r="G1" s="61" t="s">
        <v>6</v>
      </c>
      <c r="H1" s="61" t="s">
        <v>64</v>
      </c>
      <c r="I1" s="61" t="s">
        <v>72</v>
      </c>
      <c r="J1" s="61" t="s">
        <v>7</v>
      </c>
      <c r="K1" s="61" t="s">
        <v>8</v>
      </c>
      <c r="L1" s="61" t="s">
        <v>56</v>
      </c>
      <c r="M1" s="61" t="s">
        <v>59</v>
      </c>
      <c r="N1" s="61" t="s">
        <v>60</v>
      </c>
      <c r="O1" s="61" t="s">
        <v>73</v>
      </c>
      <c r="P1" s="61" t="s">
        <v>74</v>
      </c>
      <c r="Q1" s="61" t="s">
        <v>62</v>
      </c>
      <c r="R1" s="62" t="s">
        <v>75</v>
      </c>
      <c r="S1" s="62" t="s">
        <v>76</v>
      </c>
      <c r="T1" s="62" t="s">
        <v>77</v>
      </c>
      <c r="U1" s="62" t="s">
        <v>78</v>
      </c>
      <c r="V1" s="62" t="s">
        <v>79</v>
      </c>
      <c r="W1" s="62" t="s">
        <v>80</v>
      </c>
      <c r="X1" s="62" t="s">
        <v>81</v>
      </c>
      <c r="Y1" s="10" t="s">
        <v>82</v>
      </c>
      <c r="Z1" s="10" t="s">
        <v>83</v>
      </c>
      <c r="AA1" s="10" t="s">
        <v>84</v>
      </c>
      <c r="AB1" s="10" t="s">
        <v>85</v>
      </c>
      <c r="AC1" s="10" t="s">
        <v>86</v>
      </c>
      <c r="AD1" s="10" t="s">
        <v>87</v>
      </c>
      <c r="AE1" s="10" t="s">
        <v>88</v>
      </c>
      <c r="AF1" s="10" t="s">
        <v>89</v>
      </c>
      <c r="AG1" s="10" t="s">
        <v>90</v>
      </c>
      <c r="AH1" s="10" t="s">
        <v>91</v>
      </c>
      <c r="AI1" s="10" t="s">
        <v>92</v>
      </c>
      <c r="AJ1" s="10" t="s">
        <v>93</v>
      </c>
      <c r="AK1" s="10" t="s">
        <v>94</v>
      </c>
      <c r="AL1" s="10" t="s">
        <v>95</v>
      </c>
      <c r="AM1" s="10" t="s">
        <v>96</v>
      </c>
      <c r="AN1" s="10" t="s">
        <v>97</v>
      </c>
      <c r="AO1" s="10" t="s">
        <v>98</v>
      </c>
      <c r="AP1" s="10" t="s">
        <v>99</v>
      </c>
      <c r="AQ1" s="10" t="s">
        <v>100</v>
      </c>
      <c r="AR1" s="10" t="s">
        <v>101</v>
      </c>
      <c r="AS1" s="10" t="s">
        <v>102</v>
      </c>
    </row>
    <row r="2" ht="12.75" customHeight="1">
      <c r="A2" s="63">
        <f>'Details and table'!B1</f>
        <v>110022</v>
      </c>
      <c r="B2" s="64">
        <f>'Details and table'!B2</f>
        <v>44845</v>
      </c>
      <c r="C2" s="64">
        <f>'Details and table'!B3</f>
        <v>44846</v>
      </c>
      <c r="D2" s="64">
        <f>'Details and table'!B20</f>
        <v>45190</v>
      </c>
      <c r="E2" s="64">
        <f>'Details and table'!B4</f>
        <v>44855</v>
      </c>
      <c r="F2" s="65" t="str">
        <f>'Details and table'!B5</f>
        <v>Monthly</v>
      </c>
      <c r="G2" s="66">
        <f>'Details and table'!B6</f>
        <v>2500</v>
      </c>
      <c r="H2" s="66">
        <f>'Details and table'!B21</f>
        <v>554.71</v>
      </c>
      <c r="I2" s="66">
        <f>G2+H2</f>
        <v>3054.71</v>
      </c>
      <c r="J2" s="67">
        <f>'Details and table'!B7*100</f>
        <v>47.5</v>
      </c>
      <c r="K2" s="63">
        <f>'Details and table'!B8</f>
        <v>12</v>
      </c>
      <c r="L2" s="66">
        <f>ROUND('Details and table'!B10,2)</f>
        <v>258.65</v>
      </c>
      <c r="M2" s="67">
        <f>'Details and table'!B13*100</f>
        <v>47.5</v>
      </c>
      <c r="N2" s="67">
        <f>'Details and table'!B14*100</f>
        <v>59.34</v>
      </c>
      <c r="O2" s="67">
        <f>'Details and table'!B16*100</f>
        <v>47.5</v>
      </c>
      <c r="P2" s="67">
        <f>'Details and table'!B17*100</f>
        <v>59.33518868</v>
      </c>
      <c r="Q2" s="65" t="str">
        <f>'Details and table'!B19</f>
        <v>Monthly</v>
      </c>
      <c r="R2" s="68" t="str">
        <f>'Loan info'!B12</f>
        <v>John Doe</v>
      </c>
      <c r="S2" s="68" t="str">
        <f>'Loan info'!C12</f>
        <v>123 AAA St</v>
      </c>
      <c r="T2" s="68" t="str">
        <f>'Loan info'!D12</f>
        <v>111-222-2222</v>
      </c>
      <c r="U2" s="68" t="str">
        <f>'Loan info'!E12</f>
        <v>john.doe@gmail.com</v>
      </c>
      <c r="V2" s="68" t="str">
        <f>'Loan info'!F12</f>
        <v>98988</v>
      </c>
      <c r="W2" s="68" t="str">
        <f>'Loan info'!G12</f>
        <v>004</v>
      </c>
      <c r="X2" s="68" t="str">
        <f>'Loan info'!H12</f>
        <v>1212345</v>
      </c>
      <c r="Y2" s="69" t="str">
        <f>'Loan info'!B13</f>
        <v>Bo Be</v>
      </c>
      <c r="Z2" s="69" t="str">
        <f>'Loan info'!C13</f>
        <v>234 BBB St</v>
      </c>
      <c r="AA2" s="69" t="str">
        <f>'Loan info'!D13</f>
        <v>111-222-3333</v>
      </c>
      <c r="AB2" s="69" t="str">
        <f>'Loan info'!E13</f>
        <v>bo.be@gmail.com</v>
      </c>
      <c r="AC2" s="69" t="str">
        <f>'Loan info'!F13</f>
        <v/>
      </c>
      <c r="AD2" s="69" t="str">
        <f>'Loan info'!G13</f>
        <v/>
      </c>
      <c r="AE2" s="69" t="str">
        <f>'Loan info'!H13</f>
        <v/>
      </c>
      <c r="AF2" s="69" t="str">
        <f>'Loan info'!B14</f>
        <v>Sam Yan</v>
      </c>
      <c r="AG2" s="69" t="str">
        <f>'Loan info'!C14</f>
        <v>888 CCC St</v>
      </c>
      <c r="AH2" s="69" t="str">
        <f>'Loan info'!D14</f>
        <v>999-000-9999</v>
      </c>
      <c r="AI2" s="69" t="str">
        <f>'Loan info'!E14</f>
        <v>sam.yan@gmail.com</v>
      </c>
      <c r="AJ2" s="69" t="str">
        <f>'Loan info'!F14</f>
        <v/>
      </c>
      <c r="AK2" s="69" t="str">
        <f>'Loan info'!G14</f>
        <v/>
      </c>
      <c r="AL2" s="69" t="str">
        <f>'Loan info'!H14</f>
        <v/>
      </c>
      <c r="AM2" s="69" t="str">
        <f>'Loan info'!B15</f>
        <v>Mike Dow</v>
      </c>
      <c r="AN2" s="69" t="str">
        <f>'Loan info'!C15</f>
        <v>999 DDD St</v>
      </c>
      <c r="AO2" s="69" t="str">
        <f>'Loan info'!D15</f>
        <v>939-020-3933</v>
      </c>
      <c r="AP2" s="69" t="str">
        <f>'Loan info'!E15</f>
        <v>mike.dow@gmail.com</v>
      </c>
      <c r="AQ2" s="69" t="str">
        <f>'Loan info'!F15</f>
        <v/>
      </c>
      <c r="AR2" s="69" t="str">
        <f>'Loan info'!G15</f>
        <v/>
      </c>
      <c r="AS2" s="69" t="str">
        <f>'Loan info'!H15</f>
        <v/>
      </c>
    </row>
    <row r="3" ht="12.75" customHeight="1"/>
    <row r="4" ht="12.75" customHeight="1">
      <c r="J4" s="42"/>
    </row>
    <row r="5" ht="12.75" customHeight="1"/>
    <row r="6" ht="12.75" customHeight="1">
      <c r="J6" s="70"/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>
      <c r="F19" s="71" t="str">
        <f>'Details and table'!D20</f>
        <v/>
      </c>
    </row>
    <row r="20" ht="12.75" customHeight="1">
      <c r="F20" s="71" t="str">
        <f>'Details and table'!D21</f>
        <v/>
      </c>
    </row>
    <row r="21" ht="12.75" customHeight="1">
      <c r="F21" s="71" t="str">
        <f>'Details and table'!D22</f>
        <v/>
      </c>
    </row>
    <row r="22" ht="12.75" customHeight="1">
      <c r="F22" s="71" t="str">
        <f>'Details and table'!D23</f>
        <v/>
      </c>
    </row>
    <row r="23" ht="12.75" customHeight="1">
      <c r="F23" s="71" t="str">
        <f>'Details and table'!D24</f>
        <v/>
      </c>
    </row>
    <row r="24" ht="12.75" customHeight="1">
      <c r="F24" s="71" t="str">
        <f>'Details and table'!D25</f>
        <v/>
      </c>
    </row>
    <row r="25" ht="12.75" customHeight="1">
      <c r="F25" s="71" t="str">
        <f>'Details and table'!D26</f>
        <v/>
      </c>
    </row>
    <row r="26" ht="12.75" customHeight="1">
      <c r="F26" s="71" t="str">
        <f>'Details and table'!D27</f>
        <v/>
      </c>
    </row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6" width="8.63"/>
  </cols>
  <sheetData>
    <row r="1" ht="12.75" customHeight="1">
      <c r="A1" s="21" t="s">
        <v>103</v>
      </c>
    </row>
    <row r="2" ht="12.75" customHeight="1">
      <c r="A2" s="21" t="s">
        <v>5</v>
      </c>
    </row>
    <row r="3" ht="12.75" customHeight="1">
      <c r="A3" s="21" t="s">
        <v>104</v>
      </c>
    </row>
    <row r="4" ht="12.75" customHeight="1"/>
    <row r="5" ht="12.75" customHeight="1">
      <c r="A5" s="21" t="s">
        <v>105</v>
      </c>
      <c r="B5" s="47">
        <v>1.0</v>
      </c>
    </row>
    <row r="6" ht="12.75" customHeight="1">
      <c r="A6" s="21" t="s">
        <v>106</v>
      </c>
      <c r="B6" s="47">
        <v>26.0</v>
      </c>
    </row>
    <row r="7" ht="12.75" customHeight="1"/>
    <row r="8" ht="12.75" customHeight="1">
      <c r="A8" s="31" t="s">
        <v>55</v>
      </c>
    </row>
    <row r="9" ht="12.75" customHeight="1">
      <c r="A9" s="21" t="s">
        <v>107</v>
      </c>
    </row>
    <row r="10" ht="12.75" customHeight="1">
      <c r="A10" s="21" t="s">
        <v>108</v>
      </c>
    </row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